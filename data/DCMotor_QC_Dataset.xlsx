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C Motor Production Data" sheetId="1" state="visible" r:id="rId3"/>
    <sheet name="Batch Summary (Control Charts)" sheetId="2" state="visible" r:id="rId4"/>
    <sheet name="Defect Tally (Pareto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<sst xmlns="http://schemas.openxmlformats.org/spreadsheetml/2006/main" count="2271" uniqueCount="474">
  <si>
    <t xml:space="preserve">DC Motor Production Line — Quality Control Dataset  |  Model: DCM-750  |  Plant: AutoMech Industries</t>
  </si>
  <si>
    <t xml:space="preserve">Specification Limits:  Winding Resistance 4.50±0.30Ω  |  Current ≤0.85A  |  Speed 2800±200RPM  |  Torque 0.85±0.10Nm  |  Vibration ≤3.5mm/s  |  Temp ≤60°C  |  Noise ≤72dB</t>
  </si>
  <si>
    <t xml:space="preserve">Motor_ID</t>
  </si>
  <si>
    <t xml:space="preserve">Batch_No</t>
  </si>
  <si>
    <t xml:space="preserve">Machine_ID</t>
  </si>
  <si>
    <t xml:space="preserve">Operator</t>
  </si>
  <si>
    <t xml:space="preserve">Supplier</t>
  </si>
  <si>
    <t xml:space="preserve">Ambient_Temp
(°C)</t>
  </si>
  <si>
    <t xml:space="preserve">Winding_Resistance
(Ω)</t>
  </si>
  <si>
    <t xml:space="preserve">Current
(A)</t>
  </si>
  <si>
    <t xml:space="preserve">Speed
(RPM)</t>
  </si>
  <si>
    <t xml:space="preserve">Torque
(Nm)</t>
  </si>
  <si>
    <t xml:space="preserve">Vibration
(mm/s)</t>
  </si>
  <si>
    <t xml:space="preserve">Temperature
(°C)</t>
  </si>
  <si>
    <t xml:space="preserve">Noise
(dB)</t>
  </si>
  <si>
    <t xml:space="preserve">Defect_Type</t>
  </si>
  <si>
    <t xml:space="preserve">Pass/Fail</t>
  </si>
  <si>
    <t xml:space="preserve">DCM-0001</t>
  </si>
  <si>
    <t xml:space="preserve">B001</t>
  </si>
  <si>
    <t xml:space="preserve">M1</t>
  </si>
  <si>
    <t xml:space="preserve">Omar</t>
  </si>
  <si>
    <t xml:space="preserve">Supplier_B</t>
  </si>
  <si>
    <t xml:space="preserve">None</t>
  </si>
  <si>
    <t xml:space="preserve">PASS</t>
  </si>
  <si>
    <t xml:space="preserve">DCM-0002</t>
  </si>
  <si>
    <t xml:space="preserve">M2</t>
  </si>
  <si>
    <t xml:space="preserve">Layla</t>
  </si>
  <si>
    <t xml:space="preserve">DCM-0003</t>
  </si>
  <si>
    <t xml:space="preserve">M3</t>
  </si>
  <si>
    <t xml:space="preserve">Hassan</t>
  </si>
  <si>
    <t xml:space="preserve">DCM-0004</t>
  </si>
  <si>
    <t xml:space="preserve">Nour</t>
  </si>
  <si>
    <t xml:space="preserve">DCM-0005</t>
  </si>
  <si>
    <t xml:space="preserve">Karim</t>
  </si>
  <si>
    <t xml:space="preserve">DCM-0006</t>
  </si>
  <si>
    <t xml:space="preserve">B002</t>
  </si>
  <si>
    <t xml:space="preserve">Supplier_C</t>
  </si>
  <si>
    <t xml:space="preserve">DCM-0007</t>
  </si>
  <si>
    <t xml:space="preserve">DCM-0008</t>
  </si>
  <si>
    <t xml:space="preserve">DCM-0009</t>
  </si>
  <si>
    <t xml:space="preserve">DCM-0010</t>
  </si>
  <si>
    <t xml:space="preserve">DCM-0011</t>
  </si>
  <si>
    <t xml:space="preserve">B003</t>
  </si>
  <si>
    <t xml:space="preserve">Supplier_A</t>
  </si>
  <si>
    <t xml:space="preserve">DCM-0012</t>
  </si>
  <si>
    <t xml:space="preserve">DCM-0013</t>
  </si>
  <si>
    <t xml:space="preserve">DCM-0014</t>
  </si>
  <si>
    <t xml:space="preserve">DCM-0015</t>
  </si>
  <si>
    <t xml:space="preserve">DCM-0016</t>
  </si>
  <si>
    <t xml:space="preserve">B004</t>
  </si>
  <si>
    <t xml:space="preserve">DCM-0017</t>
  </si>
  <si>
    <t xml:space="preserve">DCM-0018</t>
  </si>
  <si>
    <t xml:space="preserve">DCM-0019</t>
  </si>
  <si>
    <t xml:space="preserve">DCM-0020</t>
  </si>
  <si>
    <t xml:space="preserve">DCM-0021</t>
  </si>
  <si>
    <t xml:space="preserve">B005</t>
  </si>
  <si>
    <t xml:space="preserve">DCM-0022</t>
  </si>
  <si>
    <t xml:space="preserve">DCM-0023</t>
  </si>
  <si>
    <t xml:space="preserve">DCM-0024</t>
  </si>
  <si>
    <t xml:space="preserve">DCM-0025</t>
  </si>
  <si>
    <t xml:space="preserve">DCM-0026</t>
  </si>
  <si>
    <t xml:space="preserve">B006</t>
  </si>
  <si>
    <t xml:space="preserve">DCM-0027</t>
  </si>
  <si>
    <t xml:space="preserve">DCM-0028</t>
  </si>
  <si>
    <t xml:space="preserve">DCM-0029</t>
  </si>
  <si>
    <t xml:space="preserve">DCM-0030</t>
  </si>
  <si>
    <t xml:space="preserve">DCM-0031</t>
  </si>
  <si>
    <t xml:space="preserve">B007</t>
  </si>
  <si>
    <t xml:space="preserve">DCM-0032</t>
  </si>
  <si>
    <t xml:space="preserve">DCM-0033</t>
  </si>
  <si>
    <t xml:space="preserve">DCM-0034</t>
  </si>
  <si>
    <t xml:space="preserve">DCM-0035</t>
  </si>
  <si>
    <t xml:space="preserve">DCM-0036</t>
  </si>
  <si>
    <t xml:space="preserve">B008</t>
  </si>
  <si>
    <t xml:space="preserve">DCM-0037</t>
  </si>
  <si>
    <t xml:space="preserve">DCM-0038</t>
  </si>
  <si>
    <t xml:space="preserve">DCM-0039</t>
  </si>
  <si>
    <t xml:space="preserve">DCM-0040</t>
  </si>
  <si>
    <t xml:space="preserve">DCM-0041</t>
  </si>
  <si>
    <t xml:space="preserve">B009</t>
  </si>
  <si>
    <t xml:space="preserve">DCM-0042</t>
  </si>
  <si>
    <t xml:space="preserve">DCM-0043</t>
  </si>
  <si>
    <t xml:space="preserve">DCM-0044</t>
  </si>
  <si>
    <t xml:space="preserve">DCM-0045</t>
  </si>
  <si>
    <t xml:space="preserve">DCM-0046</t>
  </si>
  <si>
    <t xml:space="preserve">B010</t>
  </si>
  <si>
    <t xml:space="preserve">DCM-0047</t>
  </si>
  <si>
    <t xml:space="preserve">DCM-0048</t>
  </si>
  <si>
    <t xml:space="preserve">DCM-0049</t>
  </si>
  <si>
    <t xml:space="preserve">DCM-0050</t>
  </si>
  <si>
    <t xml:space="preserve">DCM-0051</t>
  </si>
  <si>
    <t xml:space="preserve">B011</t>
  </si>
  <si>
    <t xml:space="preserve">DCM-0052</t>
  </si>
  <si>
    <t xml:space="preserve">DCM-0053</t>
  </si>
  <si>
    <t xml:space="preserve">DCM-0054</t>
  </si>
  <si>
    <t xml:space="preserve">DCM-0055</t>
  </si>
  <si>
    <t xml:space="preserve">DCM-0056</t>
  </si>
  <si>
    <t xml:space="preserve">B012</t>
  </si>
  <si>
    <t xml:space="preserve">DCM-0057</t>
  </si>
  <si>
    <t xml:space="preserve">DCM-0058</t>
  </si>
  <si>
    <t xml:space="preserve">DCM-0059</t>
  </si>
  <si>
    <t xml:space="preserve">DCM-0060</t>
  </si>
  <si>
    <t xml:space="preserve">DCM-0061</t>
  </si>
  <si>
    <t xml:space="preserve">B013</t>
  </si>
  <si>
    <t xml:space="preserve">DCM-0062</t>
  </si>
  <si>
    <t xml:space="preserve">DCM-0063</t>
  </si>
  <si>
    <t xml:space="preserve">DCM-0064</t>
  </si>
  <si>
    <t xml:space="preserve">DCM-0065</t>
  </si>
  <si>
    <t xml:space="preserve">DCM-0066</t>
  </si>
  <si>
    <t xml:space="preserve">B014</t>
  </si>
  <si>
    <t xml:space="preserve">DCM-0067</t>
  </si>
  <si>
    <t xml:space="preserve">DCM-0068</t>
  </si>
  <si>
    <t xml:space="preserve">DCM-0069</t>
  </si>
  <si>
    <t xml:space="preserve">DCM-0070</t>
  </si>
  <si>
    <t xml:space="preserve">DCM-0071</t>
  </si>
  <si>
    <t xml:space="preserve">B015</t>
  </si>
  <si>
    <t xml:space="preserve">DCM-0072</t>
  </si>
  <si>
    <t xml:space="preserve">DCM-0073</t>
  </si>
  <si>
    <t xml:space="preserve">DCM-0074</t>
  </si>
  <si>
    <t xml:space="preserve">DCM-0075</t>
  </si>
  <si>
    <t xml:space="preserve">DCM-0076</t>
  </si>
  <si>
    <t xml:space="preserve">B016</t>
  </si>
  <si>
    <t xml:space="preserve">DCM-0077</t>
  </si>
  <si>
    <t xml:space="preserve">Excessive Vibration | Excessive Noise</t>
  </si>
  <si>
    <t xml:space="preserve">FAIL</t>
  </si>
  <si>
    <t xml:space="preserve">DCM-0078</t>
  </si>
  <si>
    <t xml:space="preserve">DCM-0079</t>
  </si>
  <si>
    <t xml:space="preserve">DCM-0080</t>
  </si>
  <si>
    <t xml:space="preserve">Excessive Vibration</t>
  </si>
  <si>
    <t xml:space="preserve">DCM-0081</t>
  </si>
  <si>
    <t xml:space="preserve">B017</t>
  </si>
  <si>
    <t xml:space="preserve">DCM-0082</t>
  </si>
  <si>
    <t xml:space="preserve">DCM-0083</t>
  </si>
  <si>
    <t xml:space="preserve">DCM-0084</t>
  </si>
  <si>
    <t xml:space="preserve">DCM-0085</t>
  </si>
  <si>
    <t xml:space="preserve">DCM-0086</t>
  </si>
  <si>
    <t xml:space="preserve">B018</t>
  </si>
  <si>
    <t xml:space="preserve">DCM-0087</t>
  </si>
  <si>
    <t xml:space="preserve">DCM-0088</t>
  </si>
  <si>
    <t xml:space="preserve">DCM-0089</t>
  </si>
  <si>
    <t xml:space="preserve">DCM-0090</t>
  </si>
  <si>
    <t xml:space="preserve">DCM-0091</t>
  </si>
  <si>
    <t xml:space="preserve">B019</t>
  </si>
  <si>
    <t xml:space="preserve">DCM-0092</t>
  </si>
  <si>
    <t xml:space="preserve">DCM-0093</t>
  </si>
  <si>
    <t xml:space="preserve">DCM-0094</t>
  </si>
  <si>
    <t xml:space="preserve">DCM-0095</t>
  </si>
  <si>
    <t xml:space="preserve">DCM-0096</t>
  </si>
  <si>
    <t xml:space="preserve">B020</t>
  </si>
  <si>
    <t xml:space="preserve">DCM-0097</t>
  </si>
  <si>
    <t xml:space="preserve">DCM-0098</t>
  </si>
  <si>
    <t xml:space="preserve">DCM-0099</t>
  </si>
  <si>
    <t xml:space="preserve">DCM-0100</t>
  </si>
  <si>
    <t xml:space="preserve">DCM-0101</t>
  </si>
  <si>
    <t xml:space="preserve">B021</t>
  </si>
  <si>
    <t xml:space="preserve">DCM-0102</t>
  </si>
  <si>
    <t xml:space="preserve">DCM-0103</t>
  </si>
  <si>
    <t xml:space="preserve">DCM-0104</t>
  </si>
  <si>
    <t xml:space="preserve">Excessive Noise</t>
  </si>
  <si>
    <t xml:space="preserve">DCM-0105</t>
  </si>
  <si>
    <t xml:space="preserve">DCM-0106</t>
  </si>
  <si>
    <t xml:space="preserve">B022</t>
  </si>
  <si>
    <t xml:space="preserve">DCM-0107</t>
  </si>
  <si>
    <t xml:space="preserve">DCM-0108</t>
  </si>
  <si>
    <t xml:space="preserve">DCM-0109</t>
  </si>
  <si>
    <t xml:space="preserve">DCM-0110</t>
  </si>
  <si>
    <t xml:space="preserve">DCM-0111</t>
  </si>
  <si>
    <t xml:space="preserve">B023</t>
  </si>
  <si>
    <t xml:space="preserve">DCM-0112</t>
  </si>
  <si>
    <t xml:space="preserve">DCM-0113</t>
  </si>
  <si>
    <t xml:space="preserve">DCM-0114</t>
  </si>
  <si>
    <t xml:space="preserve">DCM-0115</t>
  </si>
  <si>
    <t xml:space="preserve">DCM-0116</t>
  </si>
  <si>
    <t xml:space="preserve">B024</t>
  </si>
  <si>
    <t xml:space="preserve">DCM-0117</t>
  </si>
  <si>
    <t xml:space="preserve">DCM-0118</t>
  </si>
  <si>
    <t xml:space="preserve">DCM-0119</t>
  </si>
  <si>
    <t xml:space="preserve">DCM-0120</t>
  </si>
  <si>
    <t xml:space="preserve">DCM-0121</t>
  </si>
  <si>
    <t xml:space="preserve">B025</t>
  </si>
  <si>
    <t xml:space="preserve">DCM-0122</t>
  </si>
  <si>
    <t xml:space="preserve">DCM-0123</t>
  </si>
  <si>
    <t xml:space="preserve">DCM-0124</t>
  </si>
  <si>
    <t xml:space="preserve">DCM-0125</t>
  </si>
  <si>
    <t xml:space="preserve">DCM-0126</t>
  </si>
  <si>
    <t xml:space="preserve">B026</t>
  </si>
  <si>
    <t xml:space="preserve">DCM-0127</t>
  </si>
  <si>
    <t xml:space="preserve">DCM-0128</t>
  </si>
  <si>
    <t xml:space="preserve">DCM-0129</t>
  </si>
  <si>
    <t xml:space="preserve">DCM-0130</t>
  </si>
  <si>
    <t xml:space="preserve">DCM-0131</t>
  </si>
  <si>
    <t xml:space="preserve">B027</t>
  </si>
  <si>
    <t xml:space="preserve">DCM-0132</t>
  </si>
  <si>
    <t xml:space="preserve">DCM-0133</t>
  </si>
  <si>
    <t xml:space="preserve">DCM-0134</t>
  </si>
  <si>
    <t xml:space="preserve">DCM-0135</t>
  </si>
  <si>
    <t xml:space="preserve">DCM-0136</t>
  </si>
  <si>
    <t xml:space="preserve">B028</t>
  </si>
  <si>
    <t xml:space="preserve">DCM-0137</t>
  </si>
  <si>
    <t xml:space="preserve">DCM-0138</t>
  </si>
  <si>
    <t xml:space="preserve">DCM-0139</t>
  </si>
  <si>
    <t xml:space="preserve">DCM-0140</t>
  </si>
  <si>
    <t xml:space="preserve">DCM-0141</t>
  </si>
  <si>
    <t xml:space="preserve">B029</t>
  </si>
  <si>
    <t xml:space="preserve">DCM-0142</t>
  </si>
  <si>
    <t xml:space="preserve">DCM-0143</t>
  </si>
  <si>
    <t xml:space="preserve">DCM-0144</t>
  </si>
  <si>
    <t xml:space="preserve">DCM-0145</t>
  </si>
  <si>
    <t xml:space="preserve">DCM-0146</t>
  </si>
  <si>
    <t xml:space="preserve">B030</t>
  </si>
  <si>
    <t xml:space="preserve">DCM-0147</t>
  </si>
  <si>
    <t xml:space="preserve">DCM-0148</t>
  </si>
  <si>
    <t xml:space="preserve">Torque Deviation</t>
  </si>
  <si>
    <t xml:space="preserve">DCM-0149</t>
  </si>
  <si>
    <t xml:space="preserve">DCM-0150</t>
  </si>
  <si>
    <t xml:space="preserve">DCM-0151</t>
  </si>
  <si>
    <t xml:space="preserve">B031</t>
  </si>
  <si>
    <t xml:space="preserve">DCM-0152</t>
  </si>
  <si>
    <t xml:space="preserve">Speed Out of Range | Torque Deviation</t>
  </si>
  <si>
    <t xml:space="preserve">DCM-0153</t>
  </si>
  <si>
    <t xml:space="preserve">DCM-0154</t>
  </si>
  <si>
    <t xml:space="preserve">DCM-0155</t>
  </si>
  <si>
    <t xml:space="preserve">DCM-0156</t>
  </si>
  <si>
    <t xml:space="preserve">B032</t>
  </si>
  <si>
    <t xml:space="preserve">Overheating</t>
  </si>
  <si>
    <t xml:space="preserve">DCM-0157</t>
  </si>
  <si>
    <t xml:space="preserve">DCM-0158</t>
  </si>
  <si>
    <t xml:space="preserve">DCM-0159</t>
  </si>
  <si>
    <t xml:space="preserve">DCM-0160</t>
  </si>
  <si>
    <t xml:space="preserve">DCM-0161</t>
  </si>
  <si>
    <t xml:space="preserve">B033</t>
  </si>
  <si>
    <t xml:space="preserve">DCM-0162</t>
  </si>
  <si>
    <t xml:space="preserve">Speed Out of Range</t>
  </si>
  <si>
    <t xml:space="preserve">DCM-0163</t>
  </si>
  <si>
    <t xml:space="preserve">DCM-0164</t>
  </si>
  <si>
    <t xml:space="preserve">DCM-0165</t>
  </si>
  <si>
    <t xml:space="preserve">DCM-0166</t>
  </si>
  <si>
    <t xml:space="preserve">B034</t>
  </si>
  <si>
    <t xml:space="preserve">DCM-0167</t>
  </si>
  <si>
    <t xml:space="preserve">DCM-0168</t>
  </si>
  <si>
    <t xml:space="preserve">DCM-0169</t>
  </si>
  <si>
    <t xml:space="preserve">DCM-0170</t>
  </si>
  <si>
    <t xml:space="preserve">DCM-0171</t>
  </si>
  <si>
    <t xml:space="preserve">B035</t>
  </si>
  <si>
    <t xml:space="preserve">DCM-0172</t>
  </si>
  <si>
    <t xml:space="preserve">DCM-0173</t>
  </si>
  <si>
    <t xml:space="preserve">Speed Out of Range | Torque Deviation | Overheating</t>
  </si>
  <si>
    <t xml:space="preserve">DCM-0174</t>
  </si>
  <si>
    <t xml:space="preserve">DCM-0175</t>
  </si>
  <si>
    <t xml:space="preserve">DCM-0176</t>
  </si>
  <si>
    <t xml:space="preserve">B036</t>
  </si>
  <si>
    <t xml:space="preserve">DCM-0177</t>
  </si>
  <si>
    <t xml:space="preserve">DCM-0178</t>
  </si>
  <si>
    <t xml:space="preserve">DCM-0179</t>
  </si>
  <si>
    <t xml:space="preserve">DCM-0180</t>
  </si>
  <si>
    <t xml:space="preserve">DCM-0181</t>
  </si>
  <si>
    <t xml:space="preserve">B037</t>
  </si>
  <si>
    <t xml:space="preserve">DCM-0182</t>
  </si>
  <si>
    <t xml:space="preserve">DCM-0183</t>
  </si>
  <si>
    <t xml:space="preserve">DCM-0184</t>
  </si>
  <si>
    <t xml:space="preserve">DCM-0185</t>
  </si>
  <si>
    <t xml:space="preserve">DCM-0186</t>
  </si>
  <si>
    <t xml:space="preserve">B038</t>
  </si>
  <si>
    <t xml:space="preserve">DCM-0187</t>
  </si>
  <si>
    <t xml:space="preserve">DCM-0188</t>
  </si>
  <si>
    <t xml:space="preserve">DCM-0189</t>
  </si>
  <si>
    <t xml:space="preserve">DCM-0190</t>
  </si>
  <si>
    <t xml:space="preserve">DCM-0191</t>
  </si>
  <si>
    <t xml:space="preserve">B039</t>
  </si>
  <si>
    <t xml:space="preserve">DCM-0192</t>
  </si>
  <si>
    <t xml:space="preserve">DCM-0193</t>
  </si>
  <si>
    <t xml:space="preserve">DCM-0194</t>
  </si>
  <si>
    <t xml:space="preserve">DCM-0195</t>
  </si>
  <si>
    <t xml:space="preserve">DCM-0196</t>
  </si>
  <si>
    <t xml:space="preserve">B040</t>
  </si>
  <si>
    <t xml:space="preserve">DCM-0197</t>
  </si>
  <si>
    <t xml:space="preserve">DCM-0198</t>
  </si>
  <si>
    <t xml:space="preserve">DCM-0199</t>
  </si>
  <si>
    <t xml:space="preserve">DCM-0200</t>
  </si>
  <si>
    <t xml:space="preserve">DCM-0201</t>
  </si>
  <si>
    <t xml:space="preserve">B041</t>
  </si>
  <si>
    <t xml:space="preserve">DCM-0202</t>
  </si>
  <si>
    <t xml:space="preserve">DCM-0203</t>
  </si>
  <si>
    <t xml:space="preserve">DCM-0204</t>
  </si>
  <si>
    <t xml:space="preserve">DCM-0205</t>
  </si>
  <si>
    <t xml:space="preserve">Torque Deviation | Overheating</t>
  </si>
  <si>
    <t xml:space="preserve">DCM-0206</t>
  </si>
  <si>
    <t xml:space="preserve">B042</t>
  </si>
  <si>
    <t xml:space="preserve">DCM-0207</t>
  </si>
  <si>
    <t xml:space="preserve">DCM-0208</t>
  </si>
  <si>
    <t xml:space="preserve">DCM-0209</t>
  </si>
  <si>
    <t xml:space="preserve">DCM-0210</t>
  </si>
  <si>
    <t xml:space="preserve">DCM-0211</t>
  </si>
  <si>
    <t xml:space="preserve">B043</t>
  </si>
  <si>
    <t xml:space="preserve">DCM-0212</t>
  </si>
  <si>
    <t xml:space="preserve">DCM-0213</t>
  </si>
  <si>
    <t xml:space="preserve">DCM-0214</t>
  </si>
  <si>
    <t xml:space="preserve">DCM-0215</t>
  </si>
  <si>
    <t xml:space="preserve">DCM-0216</t>
  </si>
  <si>
    <t xml:space="preserve">B044</t>
  </si>
  <si>
    <t xml:space="preserve">DCM-0217</t>
  </si>
  <si>
    <t xml:space="preserve">DCM-0218</t>
  </si>
  <si>
    <t xml:space="preserve">DCM-0219</t>
  </si>
  <si>
    <t xml:space="preserve">DCM-0220</t>
  </si>
  <si>
    <t xml:space="preserve">DCM-0221</t>
  </si>
  <si>
    <t xml:space="preserve">B045</t>
  </si>
  <si>
    <t xml:space="preserve">DCM-0222</t>
  </si>
  <si>
    <t xml:space="preserve">DCM-0223</t>
  </si>
  <si>
    <t xml:space="preserve">DCM-0224</t>
  </si>
  <si>
    <t xml:space="preserve">DCM-0225</t>
  </si>
  <si>
    <t xml:space="preserve">DCM-0226</t>
  </si>
  <si>
    <t xml:space="preserve">B046</t>
  </si>
  <si>
    <t xml:space="preserve">DCM-0227</t>
  </si>
  <si>
    <t xml:space="preserve">Winding Resistance OOS | Overheating</t>
  </si>
  <si>
    <t xml:space="preserve">DCM-0228</t>
  </si>
  <si>
    <t xml:space="preserve">DCM-0229</t>
  </si>
  <si>
    <t xml:space="preserve">DCM-0230</t>
  </si>
  <si>
    <t xml:space="preserve">DCM-0231</t>
  </si>
  <si>
    <t xml:space="preserve">B047</t>
  </si>
  <si>
    <t xml:space="preserve">DCM-0232</t>
  </si>
  <si>
    <t xml:space="preserve">DCM-0233</t>
  </si>
  <si>
    <t xml:space="preserve">DCM-0234</t>
  </si>
  <si>
    <t xml:space="preserve">Winding Resistance OOS | High Current Draw | Overheating</t>
  </si>
  <si>
    <t xml:space="preserve">DCM-0235</t>
  </si>
  <si>
    <t xml:space="preserve">High Current Draw | Overheating</t>
  </si>
  <si>
    <t xml:space="preserve">DCM-0236</t>
  </si>
  <si>
    <t xml:space="preserve">B048</t>
  </si>
  <si>
    <t xml:space="preserve">Winding Resistance OOS</t>
  </si>
  <si>
    <t xml:space="preserve">DCM-0237</t>
  </si>
  <si>
    <t xml:space="preserve">DCM-0238</t>
  </si>
  <si>
    <t xml:space="preserve">DCM-0239</t>
  </si>
  <si>
    <t xml:space="preserve">DCM-0240</t>
  </si>
  <si>
    <t xml:space="preserve">DCM-0241</t>
  </si>
  <si>
    <t xml:space="preserve">B049</t>
  </si>
  <si>
    <t xml:space="preserve">DCM-0242</t>
  </si>
  <si>
    <t xml:space="preserve">DCM-0243</t>
  </si>
  <si>
    <t xml:space="preserve">DCM-0244</t>
  </si>
  <si>
    <t xml:space="preserve">DCM-0245</t>
  </si>
  <si>
    <t xml:space="preserve">High Current Draw</t>
  </si>
  <si>
    <t xml:space="preserve">DCM-0246</t>
  </si>
  <si>
    <t xml:space="preserve">B050</t>
  </si>
  <si>
    <t xml:space="preserve">DCM-0247</t>
  </si>
  <si>
    <t xml:space="preserve">DCM-0248</t>
  </si>
  <si>
    <t xml:space="preserve">DCM-0249</t>
  </si>
  <si>
    <t xml:space="preserve">DCM-0250</t>
  </si>
  <si>
    <t xml:space="preserve">DCM-0251</t>
  </si>
  <si>
    <t xml:space="preserve">B051</t>
  </si>
  <si>
    <t xml:space="preserve">DCM-0252</t>
  </si>
  <si>
    <t xml:space="preserve">DCM-0253</t>
  </si>
  <si>
    <t xml:space="preserve">DCM-0254</t>
  </si>
  <si>
    <t xml:space="preserve">DCM-0255</t>
  </si>
  <si>
    <t xml:space="preserve">DCM-0256</t>
  </si>
  <si>
    <t xml:space="preserve">B052</t>
  </si>
  <si>
    <t xml:space="preserve">DCM-0257</t>
  </si>
  <si>
    <t xml:space="preserve">DCM-0258</t>
  </si>
  <si>
    <t xml:space="preserve">DCM-0259</t>
  </si>
  <si>
    <t xml:space="preserve">Winding Resistance OOS | High Current Draw | Torque Deviation | Overheating</t>
  </si>
  <si>
    <t xml:space="preserve">DCM-0260</t>
  </si>
  <si>
    <t xml:space="preserve">DCM-0261</t>
  </si>
  <si>
    <t xml:space="preserve">B053</t>
  </si>
  <si>
    <t xml:space="preserve">DCM-0262</t>
  </si>
  <si>
    <t xml:space="preserve">DCM-0263</t>
  </si>
  <si>
    <t xml:space="preserve">DCM-0264</t>
  </si>
  <si>
    <t xml:space="preserve">DCM-0265</t>
  </si>
  <si>
    <t xml:space="preserve">DCM-0266</t>
  </si>
  <si>
    <t xml:space="preserve">B054</t>
  </si>
  <si>
    <t xml:space="preserve">DCM-0267</t>
  </si>
  <si>
    <t xml:space="preserve">DCM-0268</t>
  </si>
  <si>
    <t xml:space="preserve">DCM-0269</t>
  </si>
  <si>
    <t xml:space="preserve">DCM-0270</t>
  </si>
  <si>
    <t xml:space="preserve">DCM-0271</t>
  </si>
  <si>
    <t xml:space="preserve">B055</t>
  </si>
  <si>
    <t xml:space="preserve">DCM-0272</t>
  </si>
  <si>
    <t xml:space="preserve">DCM-0273</t>
  </si>
  <si>
    <t xml:space="preserve">DCM-0274</t>
  </si>
  <si>
    <t xml:space="preserve">DCM-0275</t>
  </si>
  <si>
    <t xml:space="preserve">Winding Resistance OOS | High Current Draw</t>
  </si>
  <si>
    <t xml:space="preserve">DCM-0276</t>
  </si>
  <si>
    <t xml:space="preserve">B056</t>
  </si>
  <si>
    <t xml:space="preserve">DCM-0277</t>
  </si>
  <si>
    <t xml:space="preserve">DCM-0278</t>
  </si>
  <si>
    <t xml:space="preserve">DCM-0279</t>
  </si>
  <si>
    <t xml:space="preserve">DCM-0280</t>
  </si>
  <si>
    <t xml:space="preserve">DCM-0281</t>
  </si>
  <si>
    <t xml:space="preserve">B057</t>
  </si>
  <si>
    <t xml:space="preserve">DCM-0282</t>
  </si>
  <si>
    <t xml:space="preserve">DCM-0283</t>
  </si>
  <si>
    <t xml:space="preserve">DCM-0284</t>
  </si>
  <si>
    <t xml:space="preserve">DCM-0285</t>
  </si>
  <si>
    <t xml:space="preserve">DCM-0286</t>
  </si>
  <si>
    <t xml:space="preserve">B058</t>
  </si>
  <si>
    <t xml:space="preserve">DCM-0287</t>
  </si>
  <si>
    <t xml:space="preserve">DCM-0288</t>
  </si>
  <si>
    <t xml:space="preserve">DCM-0289</t>
  </si>
  <si>
    <t xml:space="preserve">DCM-0290</t>
  </si>
  <si>
    <t xml:space="preserve">DCM-0291</t>
  </si>
  <si>
    <t xml:space="preserve">B059</t>
  </si>
  <si>
    <t xml:space="preserve">DCM-0292</t>
  </si>
  <si>
    <t xml:space="preserve">DCM-0293</t>
  </si>
  <si>
    <t xml:space="preserve">DCM-0294</t>
  </si>
  <si>
    <t xml:space="preserve">DCM-0295</t>
  </si>
  <si>
    <t xml:space="preserve">DCM-0296</t>
  </si>
  <si>
    <t xml:space="preserve">B060</t>
  </si>
  <si>
    <t xml:space="preserve">DCM-0297</t>
  </si>
  <si>
    <t xml:space="preserve">DCM-0298</t>
  </si>
  <si>
    <t xml:space="preserve">DCM-0299</t>
  </si>
  <si>
    <t xml:space="preserve">DCM-0300</t>
  </si>
  <si>
    <t xml:space="preserve">Batch Summary — Use This Sheet to Build Your Control Charts</t>
  </si>
  <si>
    <t xml:space="preserve">Each row = 1 batch of 5 motors  |  n = 5 per subgroup  |  60 batches total</t>
  </si>
  <si>
    <t xml:space="preserve">Date</t>
  </si>
  <si>
    <t xml:space="preserve">Batch
Mean Speed
(RPM)</t>
  </si>
  <si>
    <t xml:space="preserve">Batch
Range Speed
(RPM)</t>
  </si>
  <si>
    <t xml:space="preserve">Batch
Mean Torque
(Nm)</t>
  </si>
  <si>
    <t xml:space="preserve">Batch
Range Torque
(Nm)</t>
  </si>
  <si>
    <t xml:space="preserve">Batch Mean
Winding_R
(Ω)</t>
  </si>
  <si>
    <t xml:space="preserve">Batch Range
Winding_R
(Ω)</t>
  </si>
  <si>
    <t xml:space="preserve">Batch Mean
Vibration
(mm/s)</t>
  </si>
  <si>
    <t xml:space="preserve">Defective
Units (np)</t>
  </si>
  <si>
    <t xml:space="preserve">Sample
Size (n)</t>
  </si>
  <si>
    <t xml:space="preserve">Proportion
Defective (p)</t>
  </si>
  <si>
    <t xml:space="preserve">2024-03-01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</si>
  <si>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</si>
  <si>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</si>
  <si>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</si>
  <si>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</si>
  <si>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</si>
  <si>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</si>
  <si>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</si>
  <si>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</si>
  <si>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</si>
  <si>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</si>
  <si>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</si>
  <si>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</si>
  <si>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</si>
  <si>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</si>
  <si>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</si>
  <si>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</si>
  <si>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</si>
  <si>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</si>
  <si>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</si>
  <si>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</si>
  <si>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</si>
  <si>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</si>
  <si>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</si>
  <si>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</si>
  <si>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</si>
  <si>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</si>
  <si>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</si>
  <si>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</si>
  <si>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</si>
  <si>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</si>
  <si>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</si>
  <si>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</si>
  <si>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</si>
  <si>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</si>
  <si>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</si>
  <si>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</si>
  <si>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</si>
  <si>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</si>
  <si>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</si>
  <si>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</si>
  <si>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2024-04-29</t>
  </si>
  <si>
    <t xml:space="preserve">Defect Type Tally — Use for Pareto Chart &amp; Fishbone Diagram</t>
  </si>
  <si>
    <t xml:space="preserve">Defect Type</t>
  </si>
  <si>
    <t xml:space="preserve">Likely Cause</t>
  </si>
  <si>
    <t xml:space="preserve">Count</t>
  </si>
  <si>
    <t xml:space="preserve">% of Total Defects</t>
  </si>
  <si>
    <t xml:space="preserve">Machine M2 bearing wear</t>
  </si>
  <si>
    <t xml:space="preserve">Supplier_B weak magnets</t>
  </si>
  <si>
    <t xml:space="preserve">High ambient temp + poor ventilation</t>
  </si>
  <si>
    <t xml:space="preserve">Operator inconsistency + heat</t>
  </si>
  <si>
    <t xml:space="preserve">Machine M2 mechanical looseness</t>
  </si>
  <si>
    <t xml:space="preserve">Winding short / insulation issue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</si>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</sst>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CE4D6"/>
      </patternFill>
    </fill>
    <fill>
      <patternFill patternType="solid">
        <fgColor rgb="FFDCE6F1"/>
        <bgColor rgb="FFFCE4D6"/>
      </patternFill>
    </fill>
    <fill>
      <patternFill patternType="solid">
        <fgColor rgb="FFFCE4D6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CE4D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2" min="11" style="0" width="13"/>
    <col collapsed="false" customWidth="true" hidden="false" outlineLevel="0" max="13" min="13" style="0" width="10"/>
    <col collapsed="false" customWidth="true" hidden="false" outlineLevel="0" max="14" min="14" style="0" width="30"/>
    <col collapsed="false" customWidth="true" hidden="false" outlineLevel="0" max="15" min="15" style="0" width="1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4.5" hidden="false" customHeight="true" outlineLevel="0" collapsed="false"/>
    <row r="4" customFormat="false" ht="37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15" hidden="false" customHeight="false" outlineLevel="0" collapsed="false">
      <c r="A5" s="4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4" t="n">
        <v>23.2</v>
      </c>
      <c r="G5" s="4" t="n">
        <v>4.538</v>
      </c>
      <c r="H5" s="4" t="n">
        <v>0.733</v>
      </c>
      <c r="I5" s="4" t="n">
        <v>2837</v>
      </c>
      <c r="J5" s="4" t="n">
        <v>0.852</v>
      </c>
      <c r="K5" s="4" t="n">
        <v>1.63</v>
      </c>
      <c r="L5" s="4" t="n">
        <v>51.6</v>
      </c>
      <c r="M5" s="4" t="n">
        <v>62.7</v>
      </c>
      <c r="N5" s="4" t="s">
        <v>22</v>
      </c>
      <c r="O5" s="5" t="s">
        <v>23</v>
      </c>
    </row>
    <row r="6" customFormat="false" ht="15" hidden="false" customHeight="false" outlineLevel="0" collapsed="false">
      <c r="A6" s="6" t="s">
        <v>24</v>
      </c>
      <c r="B6" s="6" t="s">
        <v>18</v>
      </c>
      <c r="C6" s="6" t="s">
        <v>25</v>
      </c>
      <c r="D6" s="6" t="s">
        <v>26</v>
      </c>
      <c r="E6" s="6" t="s">
        <v>21</v>
      </c>
      <c r="F6" s="6" t="n">
        <v>20.6</v>
      </c>
      <c r="G6" s="6" t="n">
        <v>4.443</v>
      </c>
      <c r="H6" s="6" t="n">
        <v>0.678</v>
      </c>
      <c r="I6" s="6" t="n">
        <v>2804</v>
      </c>
      <c r="J6" s="6" t="n">
        <v>0.829</v>
      </c>
      <c r="K6" s="6" t="n">
        <v>1.74</v>
      </c>
      <c r="L6" s="6" t="n">
        <v>46</v>
      </c>
      <c r="M6" s="6" t="n">
        <v>66.6</v>
      </c>
      <c r="N6" s="6" t="s">
        <v>22</v>
      </c>
      <c r="O6" s="7" t="s">
        <v>23</v>
      </c>
    </row>
    <row r="7" customFormat="false" ht="15" hidden="false" customHeight="false" outlineLevel="0" collapsed="false">
      <c r="A7" s="4" t="s">
        <v>27</v>
      </c>
      <c r="B7" s="4" t="s">
        <v>18</v>
      </c>
      <c r="C7" s="4" t="s">
        <v>28</v>
      </c>
      <c r="D7" s="4" t="s">
        <v>29</v>
      </c>
      <c r="E7" s="4" t="s">
        <v>21</v>
      </c>
      <c r="F7" s="4" t="n">
        <v>22.3</v>
      </c>
      <c r="G7" s="4" t="n">
        <v>4.598</v>
      </c>
      <c r="H7" s="4" t="n">
        <v>0.754</v>
      </c>
      <c r="I7" s="4" t="n">
        <v>2866</v>
      </c>
      <c r="J7" s="4" t="n">
        <v>0.871</v>
      </c>
      <c r="K7" s="4" t="n">
        <v>1.64</v>
      </c>
      <c r="L7" s="4" t="n">
        <v>46.6</v>
      </c>
      <c r="M7" s="4" t="n">
        <v>67.3</v>
      </c>
      <c r="N7" s="4" t="s">
        <v>22</v>
      </c>
      <c r="O7" s="5" t="s">
        <v>23</v>
      </c>
    </row>
    <row r="8" customFormat="false" ht="15" hidden="false" customHeight="false" outlineLevel="0" collapsed="false">
      <c r="A8" s="6" t="s">
        <v>30</v>
      </c>
      <c r="B8" s="6" t="s">
        <v>18</v>
      </c>
      <c r="C8" s="6" t="s">
        <v>19</v>
      </c>
      <c r="D8" s="6" t="s">
        <v>31</v>
      </c>
      <c r="E8" s="6" t="s">
        <v>21</v>
      </c>
      <c r="F8" s="6" t="n">
        <v>24.3</v>
      </c>
      <c r="G8" s="6" t="n">
        <v>4.389</v>
      </c>
      <c r="H8" s="6" t="n">
        <v>0.694</v>
      </c>
      <c r="I8" s="6" t="n">
        <v>2825</v>
      </c>
      <c r="J8" s="6" t="n">
        <v>0.877</v>
      </c>
      <c r="K8" s="6" t="n">
        <v>1.91</v>
      </c>
      <c r="L8" s="6" t="n">
        <v>47.7</v>
      </c>
      <c r="M8" s="6" t="n">
        <v>67.5</v>
      </c>
      <c r="N8" s="6" t="s">
        <v>22</v>
      </c>
      <c r="O8" s="7" t="s">
        <v>23</v>
      </c>
    </row>
    <row r="9" customFormat="false" ht="15" hidden="false" customHeight="false" outlineLevel="0" collapsed="false">
      <c r="A9" s="4" t="s">
        <v>32</v>
      </c>
      <c r="B9" s="4" t="s">
        <v>18</v>
      </c>
      <c r="C9" s="4" t="s">
        <v>25</v>
      </c>
      <c r="D9" s="4" t="s">
        <v>33</v>
      </c>
      <c r="E9" s="4" t="s">
        <v>21</v>
      </c>
      <c r="F9" s="4" t="n">
        <v>20.9</v>
      </c>
      <c r="G9" s="4" t="n">
        <v>4.551</v>
      </c>
      <c r="H9" s="4" t="n">
        <v>0.634</v>
      </c>
      <c r="I9" s="4" t="n">
        <v>2707</v>
      </c>
      <c r="J9" s="4" t="n">
        <v>0.833</v>
      </c>
      <c r="K9" s="4" t="n">
        <v>2.09</v>
      </c>
      <c r="L9" s="4" t="n">
        <v>47</v>
      </c>
      <c r="M9" s="4" t="n">
        <v>66</v>
      </c>
      <c r="N9" s="4" t="s">
        <v>22</v>
      </c>
      <c r="O9" s="5" t="s">
        <v>23</v>
      </c>
    </row>
    <row r="10" customFormat="false" ht="15" hidden="false" customHeight="false" outlineLevel="0" collapsed="false">
      <c r="A10" s="6" t="s">
        <v>34</v>
      </c>
      <c r="B10" s="6" t="s">
        <v>35</v>
      </c>
      <c r="C10" s="6" t="s">
        <v>28</v>
      </c>
      <c r="D10" s="6" t="s">
        <v>20</v>
      </c>
      <c r="E10" s="6" t="s">
        <v>36</v>
      </c>
      <c r="F10" s="6" t="n">
        <v>24.5</v>
      </c>
      <c r="G10" s="6" t="n">
        <v>4.37</v>
      </c>
      <c r="H10" s="6" t="n">
        <v>0.815</v>
      </c>
      <c r="I10" s="6" t="n">
        <v>2786</v>
      </c>
      <c r="J10" s="6" t="n">
        <v>0.844</v>
      </c>
      <c r="K10" s="6" t="n">
        <v>1.82</v>
      </c>
      <c r="L10" s="6" t="n">
        <v>48.6</v>
      </c>
      <c r="M10" s="6" t="n">
        <v>67.2</v>
      </c>
      <c r="N10" s="6" t="s">
        <v>22</v>
      </c>
      <c r="O10" s="7" t="s">
        <v>23</v>
      </c>
    </row>
    <row r="11" customFormat="false" ht="15" hidden="false" customHeight="false" outlineLevel="0" collapsed="false">
      <c r="A11" s="4" t="s">
        <v>37</v>
      </c>
      <c r="B11" s="4" t="s">
        <v>35</v>
      </c>
      <c r="C11" s="4" t="s">
        <v>19</v>
      </c>
      <c r="D11" s="4" t="s">
        <v>26</v>
      </c>
      <c r="E11" s="4" t="s">
        <v>36</v>
      </c>
      <c r="F11" s="4" t="n">
        <v>24.3</v>
      </c>
      <c r="G11" s="4" t="n">
        <v>4.463</v>
      </c>
      <c r="H11" s="4" t="n">
        <v>0.705</v>
      </c>
      <c r="I11" s="4" t="n">
        <v>2811</v>
      </c>
      <c r="J11" s="4" t="n">
        <v>0.848</v>
      </c>
      <c r="K11" s="4" t="n">
        <v>1.93</v>
      </c>
      <c r="L11" s="4" t="n">
        <v>51.7</v>
      </c>
      <c r="M11" s="4" t="n">
        <v>63.8</v>
      </c>
      <c r="N11" s="4" t="s">
        <v>22</v>
      </c>
      <c r="O11" s="5" t="s">
        <v>23</v>
      </c>
    </row>
    <row r="12" customFormat="false" ht="15" hidden="false" customHeight="false" outlineLevel="0" collapsed="false">
      <c r="A12" s="6" t="s">
        <v>38</v>
      </c>
      <c r="B12" s="6" t="s">
        <v>35</v>
      </c>
      <c r="C12" s="6" t="s">
        <v>25</v>
      </c>
      <c r="D12" s="6" t="s">
        <v>29</v>
      </c>
      <c r="E12" s="6" t="s">
        <v>36</v>
      </c>
      <c r="F12" s="6" t="n">
        <v>24.8</v>
      </c>
      <c r="G12" s="6" t="n">
        <v>4.668</v>
      </c>
      <c r="H12" s="6" t="n">
        <v>0.746</v>
      </c>
      <c r="I12" s="6" t="n">
        <v>2813</v>
      </c>
      <c r="J12" s="6" t="n">
        <v>0.848</v>
      </c>
      <c r="K12" s="6" t="n">
        <v>2.26</v>
      </c>
      <c r="L12" s="6" t="n">
        <v>44.7</v>
      </c>
      <c r="M12" s="6" t="n">
        <v>65.2</v>
      </c>
      <c r="N12" s="6" t="s">
        <v>22</v>
      </c>
      <c r="O12" s="7" t="s">
        <v>23</v>
      </c>
    </row>
    <row r="13" customFormat="false" ht="15" hidden="false" customHeight="false" outlineLevel="0" collapsed="false">
      <c r="A13" s="4" t="s">
        <v>39</v>
      </c>
      <c r="B13" s="4" t="s">
        <v>35</v>
      </c>
      <c r="C13" s="4" t="s">
        <v>28</v>
      </c>
      <c r="D13" s="4" t="s">
        <v>31</v>
      </c>
      <c r="E13" s="4" t="s">
        <v>36</v>
      </c>
      <c r="F13" s="4" t="n">
        <v>22.9</v>
      </c>
      <c r="G13" s="4" t="n">
        <v>4.287</v>
      </c>
      <c r="H13" s="4" t="n">
        <v>0.774</v>
      </c>
      <c r="I13" s="4" t="n">
        <v>2881</v>
      </c>
      <c r="J13" s="4" t="n">
        <v>0.796</v>
      </c>
      <c r="K13" s="4" t="n">
        <v>1.56</v>
      </c>
      <c r="L13" s="4" t="n">
        <v>45.7</v>
      </c>
      <c r="M13" s="4" t="n">
        <v>63.4</v>
      </c>
      <c r="N13" s="4" t="s">
        <v>22</v>
      </c>
      <c r="O13" s="5" t="s">
        <v>23</v>
      </c>
    </row>
    <row r="14" customFormat="false" ht="15" hidden="false" customHeight="false" outlineLevel="0" collapsed="false">
      <c r="A14" s="6" t="s">
        <v>40</v>
      </c>
      <c r="B14" s="6" t="s">
        <v>35</v>
      </c>
      <c r="C14" s="6" t="s">
        <v>19</v>
      </c>
      <c r="D14" s="6" t="s">
        <v>33</v>
      </c>
      <c r="E14" s="6" t="s">
        <v>36</v>
      </c>
      <c r="F14" s="6" t="n">
        <v>24.7</v>
      </c>
      <c r="G14" s="6" t="n">
        <v>4.532</v>
      </c>
      <c r="H14" s="6" t="n">
        <v>0.731</v>
      </c>
      <c r="I14" s="6" t="n">
        <v>2831</v>
      </c>
      <c r="J14" s="6" t="n">
        <v>0.867</v>
      </c>
      <c r="K14" s="6" t="n">
        <v>2.09</v>
      </c>
      <c r="L14" s="6" t="n">
        <v>45.8</v>
      </c>
      <c r="M14" s="6" t="n">
        <v>61.8</v>
      </c>
      <c r="N14" s="6" t="s">
        <v>22</v>
      </c>
      <c r="O14" s="7" t="s">
        <v>23</v>
      </c>
    </row>
    <row r="15" customFormat="false" ht="15" hidden="false" customHeight="false" outlineLevel="0" collapsed="false">
      <c r="A15" s="4" t="s">
        <v>41</v>
      </c>
      <c r="B15" s="4" t="s">
        <v>42</v>
      </c>
      <c r="C15" s="4" t="s">
        <v>25</v>
      </c>
      <c r="D15" s="4" t="s">
        <v>20</v>
      </c>
      <c r="E15" s="4" t="s">
        <v>43</v>
      </c>
      <c r="F15" s="4" t="n">
        <v>24.9</v>
      </c>
      <c r="G15" s="4" t="n">
        <v>4.315</v>
      </c>
      <c r="H15" s="4" t="n">
        <v>0.775</v>
      </c>
      <c r="I15" s="4" t="n">
        <v>2869</v>
      </c>
      <c r="J15" s="4" t="n">
        <v>0.856</v>
      </c>
      <c r="K15" s="4" t="n">
        <v>2.02</v>
      </c>
      <c r="L15" s="4" t="n">
        <v>52.5</v>
      </c>
      <c r="M15" s="4" t="n">
        <v>64.4</v>
      </c>
      <c r="N15" s="4" t="s">
        <v>22</v>
      </c>
      <c r="O15" s="5" t="s">
        <v>23</v>
      </c>
    </row>
    <row r="16" customFormat="false" ht="15" hidden="false" customHeight="false" outlineLevel="0" collapsed="false">
      <c r="A16" s="6" t="s">
        <v>44</v>
      </c>
      <c r="B16" s="6" t="s">
        <v>42</v>
      </c>
      <c r="C16" s="6" t="s">
        <v>28</v>
      </c>
      <c r="D16" s="6" t="s">
        <v>26</v>
      </c>
      <c r="E16" s="6" t="s">
        <v>43</v>
      </c>
      <c r="F16" s="6" t="n">
        <v>25</v>
      </c>
      <c r="G16" s="6" t="n">
        <v>4.521</v>
      </c>
      <c r="H16" s="6" t="n">
        <v>0.66</v>
      </c>
      <c r="I16" s="6" t="n">
        <v>2861</v>
      </c>
      <c r="J16" s="6" t="n">
        <v>0.817</v>
      </c>
      <c r="K16" s="6" t="n">
        <v>2.11</v>
      </c>
      <c r="L16" s="6" t="n">
        <v>49.1</v>
      </c>
      <c r="M16" s="6" t="n">
        <v>64.4</v>
      </c>
      <c r="N16" s="6" t="s">
        <v>22</v>
      </c>
      <c r="O16" s="7" t="s">
        <v>23</v>
      </c>
    </row>
    <row r="17" customFormat="false" ht="15" hidden="false" customHeight="false" outlineLevel="0" collapsed="false">
      <c r="A17" s="4" t="s">
        <v>45</v>
      </c>
      <c r="B17" s="4" t="s">
        <v>42</v>
      </c>
      <c r="C17" s="4" t="s">
        <v>19</v>
      </c>
      <c r="D17" s="4" t="s">
        <v>29</v>
      </c>
      <c r="E17" s="4" t="s">
        <v>43</v>
      </c>
      <c r="F17" s="4" t="n">
        <v>26.5</v>
      </c>
      <c r="G17" s="4" t="n">
        <v>4.345</v>
      </c>
      <c r="H17" s="4" t="n">
        <v>0.713</v>
      </c>
      <c r="I17" s="4" t="n">
        <v>2745</v>
      </c>
      <c r="J17" s="4" t="n">
        <v>0.818</v>
      </c>
      <c r="K17" s="4" t="n">
        <v>2</v>
      </c>
      <c r="L17" s="4" t="n">
        <v>43.8</v>
      </c>
      <c r="M17" s="4" t="n">
        <v>63.4</v>
      </c>
      <c r="N17" s="4" t="s">
        <v>22</v>
      </c>
      <c r="O17" s="5" t="s">
        <v>23</v>
      </c>
    </row>
    <row r="18" customFormat="false" ht="15" hidden="false" customHeight="false" outlineLevel="0" collapsed="false">
      <c r="A18" s="6" t="s">
        <v>46</v>
      </c>
      <c r="B18" s="6" t="s">
        <v>42</v>
      </c>
      <c r="C18" s="6" t="s">
        <v>25</v>
      </c>
      <c r="D18" s="6" t="s">
        <v>31</v>
      </c>
      <c r="E18" s="6" t="s">
        <v>43</v>
      </c>
      <c r="F18" s="6" t="n">
        <v>22.9</v>
      </c>
      <c r="G18" s="6" t="n">
        <v>4.689</v>
      </c>
      <c r="H18" s="6" t="n">
        <v>0.715</v>
      </c>
      <c r="I18" s="6" t="n">
        <v>2762</v>
      </c>
      <c r="J18" s="6" t="n">
        <v>0.872</v>
      </c>
      <c r="K18" s="6" t="n">
        <v>1.41</v>
      </c>
      <c r="L18" s="6" t="n">
        <v>50.9</v>
      </c>
      <c r="M18" s="6" t="n">
        <v>65</v>
      </c>
      <c r="N18" s="6" t="s">
        <v>22</v>
      </c>
      <c r="O18" s="7" t="s">
        <v>23</v>
      </c>
    </row>
    <row r="19" customFormat="false" ht="15" hidden="false" customHeight="false" outlineLevel="0" collapsed="false">
      <c r="A19" s="4" t="s">
        <v>47</v>
      </c>
      <c r="B19" s="4" t="s">
        <v>42</v>
      </c>
      <c r="C19" s="4" t="s">
        <v>28</v>
      </c>
      <c r="D19" s="4" t="s">
        <v>33</v>
      </c>
      <c r="E19" s="4" t="s">
        <v>43</v>
      </c>
      <c r="F19" s="4" t="n">
        <v>24</v>
      </c>
      <c r="G19" s="4" t="n">
        <v>4.459</v>
      </c>
      <c r="H19" s="4" t="n">
        <v>0.625</v>
      </c>
      <c r="I19" s="4" t="n">
        <v>2854</v>
      </c>
      <c r="J19" s="4" t="n">
        <v>0.848</v>
      </c>
      <c r="K19" s="4" t="n">
        <v>2.31</v>
      </c>
      <c r="L19" s="4" t="n">
        <v>44.1</v>
      </c>
      <c r="M19" s="4" t="n">
        <v>68.4</v>
      </c>
      <c r="N19" s="4" t="s">
        <v>22</v>
      </c>
      <c r="O19" s="5" t="s">
        <v>23</v>
      </c>
    </row>
    <row r="20" customFormat="false" ht="15" hidden="false" customHeight="false" outlineLevel="0" collapsed="false">
      <c r="A20" s="6" t="s">
        <v>48</v>
      </c>
      <c r="B20" s="6" t="s">
        <v>49</v>
      </c>
      <c r="C20" s="6" t="s">
        <v>19</v>
      </c>
      <c r="D20" s="6" t="s">
        <v>20</v>
      </c>
      <c r="E20" s="6" t="s">
        <v>21</v>
      </c>
      <c r="F20" s="6" t="n">
        <v>24.4</v>
      </c>
      <c r="G20" s="6" t="n">
        <v>4.38</v>
      </c>
      <c r="H20" s="6" t="n">
        <v>0.748</v>
      </c>
      <c r="I20" s="6" t="n">
        <v>2782</v>
      </c>
      <c r="J20" s="6" t="n">
        <v>0.88</v>
      </c>
      <c r="K20" s="6" t="n">
        <v>1.66</v>
      </c>
      <c r="L20" s="6" t="n">
        <v>44</v>
      </c>
      <c r="M20" s="6" t="n">
        <v>63.5</v>
      </c>
      <c r="N20" s="6" t="s">
        <v>22</v>
      </c>
      <c r="O20" s="7" t="s">
        <v>23</v>
      </c>
    </row>
    <row r="21" customFormat="false" ht="15" hidden="false" customHeight="false" outlineLevel="0" collapsed="false">
      <c r="A21" s="4" t="s">
        <v>50</v>
      </c>
      <c r="B21" s="4" t="s">
        <v>49</v>
      </c>
      <c r="C21" s="4" t="s">
        <v>25</v>
      </c>
      <c r="D21" s="4" t="s">
        <v>26</v>
      </c>
      <c r="E21" s="4" t="s">
        <v>21</v>
      </c>
      <c r="F21" s="4" t="n">
        <v>23.5</v>
      </c>
      <c r="G21" s="4" t="n">
        <v>4.648</v>
      </c>
      <c r="H21" s="4" t="n">
        <v>0.626</v>
      </c>
      <c r="I21" s="4" t="n">
        <v>2701</v>
      </c>
      <c r="J21" s="4" t="n">
        <v>0.828</v>
      </c>
      <c r="K21" s="4" t="n">
        <v>1.57</v>
      </c>
      <c r="L21" s="4" t="n">
        <v>53</v>
      </c>
      <c r="M21" s="4" t="n">
        <v>62</v>
      </c>
      <c r="N21" s="4" t="s">
        <v>22</v>
      </c>
      <c r="O21" s="5" t="s">
        <v>23</v>
      </c>
    </row>
    <row r="22" customFormat="false" ht="15" hidden="false" customHeight="false" outlineLevel="0" collapsed="false">
      <c r="A22" s="6" t="s">
        <v>51</v>
      </c>
      <c r="B22" s="6" t="s">
        <v>49</v>
      </c>
      <c r="C22" s="6" t="s">
        <v>28</v>
      </c>
      <c r="D22" s="6" t="s">
        <v>29</v>
      </c>
      <c r="E22" s="6" t="s">
        <v>21</v>
      </c>
      <c r="F22" s="6" t="n">
        <v>22.7</v>
      </c>
      <c r="G22" s="6" t="n">
        <v>4.622</v>
      </c>
      <c r="H22" s="6" t="n">
        <v>0.685</v>
      </c>
      <c r="I22" s="6" t="n">
        <v>2666</v>
      </c>
      <c r="J22" s="6" t="n">
        <v>0.871</v>
      </c>
      <c r="K22" s="6" t="n">
        <v>2.39</v>
      </c>
      <c r="L22" s="6" t="n">
        <v>52.4</v>
      </c>
      <c r="M22" s="6" t="n">
        <v>66.4</v>
      </c>
      <c r="N22" s="6" t="s">
        <v>22</v>
      </c>
      <c r="O22" s="7" t="s">
        <v>23</v>
      </c>
    </row>
    <row r="23" customFormat="false" ht="15" hidden="false" customHeight="false" outlineLevel="0" collapsed="false">
      <c r="A23" s="4" t="s">
        <v>52</v>
      </c>
      <c r="B23" s="4" t="s">
        <v>49</v>
      </c>
      <c r="C23" s="4" t="s">
        <v>19</v>
      </c>
      <c r="D23" s="4" t="s">
        <v>31</v>
      </c>
      <c r="E23" s="4" t="s">
        <v>21</v>
      </c>
      <c r="F23" s="4" t="n">
        <v>22.6</v>
      </c>
      <c r="G23" s="4" t="n">
        <v>4.362</v>
      </c>
      <c r="H23" s="4" t="n">
        <v>0.739</v>
      </c>
      <c r="I23" s="4" t="n">
        <v>2770</v>
      </c>
      <c r="J23" s="4" t="n">
        <v>0.874</v>
      </c>
      <c r="K23" s="4" t="n">
        <v>1.65</v>
      </c>
      <c r="L23" s="4" t="n">
        <v>49</v>
      </c>
      <c r="M23" s="4" t="n">
        <v>64.2</v>
      </c>
      <c r="N23" s="4" t="s">
        <v>22</v>
      </c>
      <c r="O23" s="5" t="s">
        <v>23</v>
      </c>
    </row>
    <row r="24" customFormat="false" ht="15" hidden="false" customHeight="false" outlineLevel="0" collapsed="false">
      <c r="A24" s="6" t="s">
        <v>53</v>
      </c>
      <c r="B24" s="6" t="s">
        <v>49</v>
      </c>
      <c r="C24" s="6" t="s">
        <v>25</v>
      </c>
      <c r="D24" s="6" t="s">
        <v>33</v>
      </c>
      <c r="E24" s="6" t="s">
        <v>21</v>
      </c>
      <c r="F24" s="6" t="n">
        <v>23.9</v>
      </c>
      <c r="G24" s="6" t="n">
        <v>4.499</v>
      </c>
      <c r="H24" s="6" t="n">
        <v>0.698</v>
      </c>
      <c r="I24" s="6" t="n">
        <v>2876</v>
      </c>
      <c r="J24" s="6" t="n">
        <v>0.85</v>
      </c>
      <c r="K24" s="6" t="n">
        <v>1.69</v>
      </c>
      <c r="L24" s="6" t="n">
        <v>44.3</v>
      </c>
      <c r="M24" s="6" t="n">
        <v>65.5</v>
      </c>
      <c r="N24" s="6" t="s">
        <v>22</v>
      </c>
      <c r="O24" s="7" t="s">
        <v>23</v>
      </c>
    </row>
    <row r="25" customFormat="false" ht="15" hidden="false" customHeight="false" outlineLevel="0" collapsed="false">
      <c r="A25" s="4" t="s">
        <v>54</v>
      </c>
      <c r="B25" s="4" t="s">
        <v>55</v>
      </c>
      <c r="C25" s="4" t="s">
        <v>28</v>
      </c>
      <c r="D25" s="4" t="s">
        <v>20</v>
      </c>
      <c r="E25" s="4" t="s">
        <v>36</v>
      </c>
      <c r="F25" s="4" t="n">
        <v>24.7</v>
      </c>
      <c r="G25" s="4" t="n">
        <v>4.66</v>
      </c>
      <c r="H25" s="4" t="n">
        <v>0.717</v>
      </c>
      <c r="I25" s="4" t="n">
        <v>2738</v>
      </c>
      <c r="J25" s="4" t="n">
        <v>0.795</v>
      </c>
      <c r="K25" s="4" t="n">
        <v>1.81</v>
      </c>
      <c r="L25" s="4" t="n">
        <v>43.6</v>
      </c>
      <c r="M25" s="4" t="n">
        <v>62.7</v>
      </c>
      <c r="N25" s="4" t="s">
        <v>22</v>
      </c>
      <c r="O25" s="5" t="s">
        <v>23</v>
      </c>
    </row>
    <row r="26" customFormat="false" ht="15" hidden="false" customHeight="false" outlineLevel="0" collapsed="false">
      <c r="A26" s="6" t="s">
        <v>56</v>
      </c>
      <c r="B26" s="6" t="s">
        <v>55</v>
      </c>
      <c r="C26" s="6" t="s">
        <v>19</v>
      </c>
      <c r="D26" s="6" t="s">
        <v>26</v>
      </c>
      <c r="E26" s="6" t="s">
        <v>36</v>
      </c>
      <c r="F26" s="6" t="n">
        <v>24.1</v>
      </c>
      <c r="G26" s="6" t="n">
        <v>4.434</v>
      </c>
      <c r="H26" s="6" t="n">
        <v>0.739</v>
      </c>
      <c r="I26" s="6" t="n">
        <v>2803</v>
      </c>
      <c r="J26" s="6" t="n">
        <v>0.831</v>
      </c>
      <c r="K26" s="6" t="n">
        <v>2.33</v>
      </c>
      <c r="L26" s="6" t="n">
        <v>47.1</v>
      </c>
      <c r="M26" s="6" t="n">
        <v>67</v>
      </c>
      <c r="N26" s="6" t="s">
        <v>22</v>
      </c>
      <c r="O26" s="7" t="s">
        <v>23</v>
      </c>
    </row>
    <row r="27" customFormat="false" ht="15" hidden="false" customHeight="false" outlineLevel="0" collapsed="false">
      <c r="A27" s="4" t="s">
        <v>57</v>
      </c>
      <c r="B27" s="4" t="s">
        <v>55</v>
      </c>
      <c r="C27" s="4" t="s">
        <v>25</v>
      </c>
      <c r="D27" s="4" t="s">
        <v>29</v>
      </c>
      <c r="E27" s="4" t="s">
        <v>36</v>
      </c>
      <c r="F27" s="4" t="n">
        <v>22.7</v>
      </c>
      <c r="G27" s="4" t="n">
        <v>4.593</v>
      </c>
      <c r="H27" s="4" t="n">
        <v>0.77</v>
      </c>
      <c r="I27" s="4" t="n">
        <v>2777</v>
      </c>
      <c r="J27" s="4" t="n">
        <v>0.831</v>
      </c>
      <c r="K27" s="4" t="n">
        <v>2.46</v>
      </c>
      <c r="L27" s="4" t="n">
        <v>47.7</v>
      </c>
      <c r="M27" s="4" t="n">
        <v>68.5</v>
      </c>
      <c r="N27" s="4" t="s">
        <v>22</v>
      </c>
      <c r="O27" s="5" t="s">
        <v>23</v>
      </c>
    </row>
    <row r="28" customFormat="false" ht="15" hidden="false" customHeight="false" outlineLevel="0" collapsed="false">
      <c r="A28" s="6" t="s">
        <v>58</v>
      </c>
      <c r="B28" s="6" t="s">
        <v>55</v>
      </c>
      <c r="C28" s="6" t="s">
        <v>28</v>
      </c>
      <c r="D28" s="6" t="s">
        <v>31</v>
      </c>
      <c r="E28" s="6" t="s">
        <v>36</v>
      </c>
      <c r="F28" s="6" t="n">
        <v>23.3</v>
      </c>
      <c r="G28" s="6" t="n">
        <v>4.537</v>
      </c>
      <c r="H28" s="6" t="n">
        <v>0.7</v>
      </c>
      <c r="I28" s="6" t="n">
        <v>2807</v>
      </c>
      <c r="J28" s="6" t="n">
        <v>0.88</v>
      </c>
      <c r="K28" s="6" t="n">
        <v>2.18</v>
      </c>
      <c r="L28" s="6" t="n">
        <v>43.6</v>
      </c>
      <c r="M28" s="6" t="n">
        <v>66.8</v>
      </c>
      <c r="N28" s="6" t="s">
        <v>22</v>
      </c>
      <c r="O28" s="7" t="s">
        <v>23</v>
      </c>
    </row>
    <row r="29" customFormat="false" ht="15" hidden="false" customHeight="false" outlineLevel="0" collapsed="false">
      <c r="A29" s="4" t="s">
        <v>59</v>
      </c>
      <c r="B29" s="4" t="s">
        <v>55</v>
      </c>
      <c r="C29" s="4" t="s">
        <v>19</v>
      </c>
      <c r="D29" s="4" t="s">
        <v>33</v>
      </c>
      <c r="E29" s="4" t="s">
        <v>36</v>
      </c>
      <c r="F29" s="4" t="n">
        <v>20.8</v>
      </c>
      <c r="G29" s="4" t="n">
        <v>4.622</v>
      </c>
      <c r="H29" s="4" t="n">
        <v>0.733</v>
      </c>
      <c r="I29" s="4" t="n">
        <v>2838</v>
      </c>
      <c r="J29" s="4" t="n">
        <v>0.842</v>
      </c>
      <c r="K29" s="4" t="n">
        <v>2.35</v>
      </c>
      <c r="L29" s="4" t="n">
        <v>45.8</v>
      </c>
      <c r="M29" s="4" t="n">
        <v>66.5</v>
      </c>
      <c r="N29" s="4" t="s">
        <v>22</v>
      </c>
      <c r="O29" s="5" t="s">
        <v>23</v>
      </c>
    </row>
    <row r="30" customFormat="false" ht="15" hidden="false" customHeight="false" outlineLevel="0" collapsed="false">
      <c r="A30" s="6" t="s">
        <v>60</v>
      </c>
      <c r="B30" s="6" t="s">
        <v>61</v>
      </c>
      <c r="C30" s="6" t="s">
        <v>25</v>
      </c>
      <c r="D30" s="6" t="s">
        <v>20</v>
      </c>
      <c r="E30" s="6" t="s">
        <v>43</v>
      </c>
      <c r="F30" s="6" t="n">
        <v>25.6</v>
      </c>
      <c r="G30" s="6" t="n">
        <v>4.292</v>
      </c>
      <c r="H30" s="6" t="n">
        <v>0.636</v>
      </c>
      <c r="I30" s="6" t="n">
        <v>2815</v>
      </c>
      <c r="J30" s="6" t="n">
        <v>0.885</v>
      </c>
      <c r="K30" s="6" t="n">
        <v>1.64</v>
      </c>
      <c r="L30" s="6" t="n">
        <v>49.2</v>
      </c>
      <c r="M30" s="6" t="n">
        <v>65.4</v>
      </c>
      <c r="N30" s="6" t="s">
        <v>22</v>
      </c>
      <c r="O30" s="7" t="s">
        <v>23</v>
      </c>
    </row>
    <row r="31" customFormat="false" ht="15" hidden="false" customHeight="false" outlineLevel="0" collapsed="false">
      <c r="A31" s="4" t="s">
        <v>62</v>
      </c>
      <c r="B31" s="4" t="s">
        <v>61</v>
      </c>
      <c r="C31" s="4" t="s">
        <v>28</v>
      </c>
      <c r="D31" s="4" t="s">
        <v>26</v>
      </c>
      <c r="E31" s="4" t="s">
        <v>43</v>
      </c>
      <c r="F31" s="4" t="n">
        <v>24.1</v>
      </c>
      <c r="G31" s="4" t="n">
        <v>4.611</v>
      </c>
      <c r="H31" s="4" t="n">
        <v>0.756</v>
      </c>
      <c r="I31" s="4" t="n">
        <v>2805</v>
      </c>
      <c r="J31" s="4" t="n">
        <v>0.814</v>
      </c>
      <c r="K31" s="4" t="n">
        <v>1.91</v>
      </c>
      <c r="L31" s="4" t="n">
        <v>43.5</v>
      </c>
      <c r="M31" s="4" t="n">
        <v>64.7</v>
      </c>
      <c r="N31" s="4" t="s">
        <v>22</v>
      </c>
      <c r="O31" s="5" t="s">
        <v>23</v>
      </c>
    </row>
    <row r="32" customFormat="false" ht="15" hidden="false" customHeight="false" outlineLevel="0" collapsed="false">
      <c r="A32" s="6" t="s">
        <v>63</v>
      </c>
      <c r="B32" s="6" t="s">
        <v>61</v>
      </c>
      <c r="C32" s="6" t="s">
        <v>19</v>
      </c>
      <c r="D32" s="6" t="s">
        <v>29</v>
      </c>
      <c r="E32" s="6" t="s">
        <v>43</v>
      </c>
      <c r="F32" s="6" t="n">
        <v>21.9</v>
      </c>
      <c r="G32" s="6" t="n">
        <v>4.471</v>
      </c>
      <c r="H32" s="6" t="n">
        <v>0.684</v>
      </c>
      <c r="I32" s="6" t="n">
        <v>2772</v>
      </c>
      <c r="J32" s="6" t="n">
        <v>0.877</v>
      </c>
      <c r="K32" s="6" t="n">
        <v>2.3</v>
      </c>
      <c r="L32" s="6" t="n">
        <v>48.3</v>
      </c>
      <c r="M32" s="6" t="n">
        <v>65.5</v>
      </c>
      <c r="N32" s="6" t="s">
        <v>22</v>
      </c>
      <c r="O32" s="7" t="s">
        <v>23</v>
      </c>
    </row>
    <row r="33" customFormat="false" ht="15" hidden="false" customHeight="false" outlineLevel="0" collapsed="false">
      <c r="A33" s="4" t="s">
        <v>64</v>
      </c>
      <c r="B33" s="4" t="s">
        <v>61</v>
      </c>
      <c r="C33" s="4" t="s">
        <v>25</v>
      </c>
      <c r="D33" s="4" t="s">
        <v>31</v>
      </c>
      <c r="E33" s="4" t="s">
        <v>43</v>
      </c>
      <c r="F33" s="4" t="n">
        <v>23.4</v>
      </c>
      <c r="G33" s="4" t="n">
        <v>4.56</v>
      </c>
      <c r="H33" s="4" t="n">
        <v>0.721</v>
      </c>
      <c r="I33" s="4" t="n">
        <v>2768</v>
      </c>
      <c r="J33" s="4" t="n">
        <v>0.793</v>
      </c>
      <c r="K33" s="4" t="n">
        <v>2.1</v>
      </c>
      <c r="L33" s="4" t="n">
        <v>51.1</v>
      </c>
      <c r="M33" s="4" t="n">
        <v>61.9</v>
      </c>
      <c r="N33" s="4" t="s">
        <v>22</v>
      </c>
      <c r="O33" s="5" t="s">
        <v>23</v>
      </c>
    </row>
    <row r="34" customFormat="false" ht="15" hidden="false" customHeight="false" outlineLevel="0" collapsed="false">
      <c r="A34" s="6" t="s">
        <v>65</v>
      </c>
      <c r="B34" s="6" t="s">
        <v>61</v>
      </c>
      <c r="C34" s="6" t="s">
        <v>28</v>
      </c>
      <c r="D34" s="6" t="s">
        <v>33</v>
      </c>
      <c r="E34" s="6" t="s">
        <v>43</v>
      </c>
      <c r="F34" s="6" t="n">
        <v>24.7</v>
      </c>
      <c r="G34" s="6" t="n">
        <v>4.541</v>
      </c>
      <c r="H34" s="6" t="n">
        <v>0.714</v>
      </c>
      <c r="I34" s="6" t="n">
        <v>2852</v>
      </c>
      <c r="J34" s="6" t="n">
        <v>0.825</v>
      </c>
      <c r="K34" s="6" t="n">
        <v>1.81</v>
      </c>
      <c r="L34" s="6" t="n">
        <v>46</v>
      </c>
      <c r="M34" s="6" t="n">
        <v>62.1</v>
      </c>
      <c r="N34" s="6" t="s">
        <v>22</v>
      </c>
      <c r="O34" s="7" t="s">
        <v>23</v>
      </c>
    </row>
    <row r="35" customFormat="false" ht="15" hidden="false" customHeight="false" outlineLevel="0" collapsed="false">
      <c r="A35" s="4" t="s">
        <v>66</v>
      </c>
      <c r="B35" s="4" t="s">
        <v>67</v>
      </c>
      <c r="C35" s="4" t="s">
        <v>19</v>
      </c>
      <c r="D35" s="4" t="s">
        <v>20</v>
      </c>
      <c r="E35" s="4" t="s">
        <v>21</v>
      </c>
      <c r="F35" s="4" t="n">
        <v>22.4</v>
      </c>
      <c r="G35" s="4" t="n">
        <v>4.35</v>
      </c>
      <c r="H35" s="4" t="n">
        <v>0.772</v>
      </c>
      <c r="I35" s="4" t="n">
        <v>2841</v>
      </c>
      <c r="J35" s="4" t="n">
        <v>0.838</v>
      </c>
      <c r="K35" s="4" t="n">
        <v>1.25</v>
      </c>
      <c r="L35" s="4" t="n">
        <v>49.2</v>
      </c>
      <c r="M35" s="4" t="n">
        <v>65.5</v>
      </c>
      <c r="N35" s="4" t="s">
        <v>22</v>
      </c>
      <c r="O35" s="5" t="s">
        <v>23</v>
      </c>
    </row>
    <row r="36" customFormat="false" ht="15" hidden="false" customHeight="false" outlineLevel="0" collapsed="false">
      <c r="A36" s="6" t="s">
        <v>68</v>
      </c>
      <c r="B36" s="6" t="s">
        <v>67</v>
      </c>
      <c r="C36" s="6" t="s">
        <v>25</v>
      </c>
      <c r="D36" s="6" t="s">
        <v>26</v>
      </c>
      <c r="E36" s="6" t="s">
        <v>21</v>
      </c>
      <c r="F36" s="6" t="n">
        <v>24.1</v>
      </c>
      <c r="G36" s="6" t="n">
        <v>4.356</v>
      </c>
      <c r="H36" s="6" t="n">
        <v>0.761</v>
      </c>
      <c r="I36" s="6" t="n">
        <v>2896</v>
      </c>
      <c r="J36" s="6" t="n">
        <v>0.839</v>
      </c>
      <c r="K36" s="6" t="n">
        <v>1.43</v>
      </c>
      <c r="L36" s="6" t="n">
        <v>43.2</v>
      </c>
      <c r="M36" s="6" t="n">
        <v>65.2</v>
      </c>
      <c r="N36" s="6" t="s">
        <v>22</v>
      </c>
      <c r="O36" s="7" t="s">
        <v>23</v>
      </c>
    </row>
    <row r="37" customFormat="false" ht="15" hidden="false" customHeight="false" outlineLevel="0" collapsed="false">
      <c r="A37" s="4" t="s">
        <v>69</v>
      </c>
      <c r="B37" s="4" t="s">
        <v>67</v>
      </c>
      <c r="C37" s="4" t="s">
        <v>28</v>
      </c>
      <c r="D37" s="4" t="s">
        <v>29</v>
      </c>
      <c r="E37" s="4" t="s">
        <v>21</v>
      </c>
      <c r="F37" s="4" t="n">
        <v>23.7</v>
      </c>
      <c r="G37" s="4" t="n">
        <v>4.528</v>
      </c>
      <c r="H37" s="4" t="n">
        <v>0.689</v>
      </c>
      <c r="I37" s="4" t="n">
        <v>2864</v>
      </c>
      <c r="J37" s="4" t="n">
        <v>0.86</v>
      </c>
      <c r="K37" s="4" t="n">
        <v>2.1</v>
      </c>
      <c r="L37" s="4" t="n">
        <v>50.6</v>
      </c>
      <c r="M37" s="4" t="n">
        <v>66.8</v>
      </c>
      <c r="N37" s="4" t="s">
        <v>22</v>
      </c>
      <c r="O37" s="5" t="s">
        <v>23</v>
      </c>
    </row>
    <row r="38" customFormat="false" ht="15" hidden="false" customHeight="false" outlineLevel="0" collapsed="false">
      <c r="A38" s="6" t="s">
        <v>70</v>
      </c>
      <c r="B38" s="6" t="s">
        <v>67</v>
      </c>
      <c r="C38" s="6" t="s">
        <v>19</v>
      </c>
      <c r="D38" s="6" t="s">
        <v>31</v>
      </c>
      <c r="E38" s="6" t="s">
        <v>21</v>
      </c>
      <c r="F38" s="6" t="n">
        <v>26.4</v>
      </c>
      <c r="G38" s="6" t="n">
        <v>4.466</v>
      </c>
      <c r="H38" s="6" t="n">
        <v>0.759</v>
      </c>
      <c r="I38" s="6" t="n">
        <v>2804</v>
      </c>
      <c r="J38" s="6" t="n">
        <v>0.843</v>
      </c>
      <c r="K38" s="6" t="n">
        <v>1.76</v>
      </c>
      <c r="L38" s="6" t="n">
        <v>45.5</v>
      </c>
      <c r="M38" s="6" t="n">
        <v>65.4</v>
      </c>
      <c r="N38" s="6" t="s">
        <v>22</v>
      </c>
      <c r="O38" s="7" t="s">
        <v>23</v>
      </c>
    </row>
    <row r="39" customFormat="false" ht="15" hidden="false" customHeight="false" outlineLevel="0" collapsed="false">
      <c r="A39" s="4" t="s">
        <v>71</v>
      </c>
      <c r="B39" s="4" t="s">
        <v>67</v>
      </c>
      <c r="C39" s="4" t="s">
        <v>25</v>
      </c>
      <c r="D39" s="4" t="s">
        <v>33</v>
      </c>
      <c r="E39" s="4" t="s">
        <v>21</v>
      </c>
      <c r="F39" s="4" t="n">
        <v>21.5</v>
      </c>
      <c r="G39" s="4" t="n">
        <v>4.561</v>
      </c>
      <c r="H39" s="4" t="n">
        <v>0.732</v>
      </c>
      <c r="I39" s="4" t="n">
        <v>2784</v>
      </c>
      <c r="J39" s="4" t="n">
        <v>0.883</v>
      </c>
      <c r="K39" s="4" t="n">
        <v>1.25</v>
      </c>
      <c r="L39" s="4" t="n">
        <v>42.9</v>
      </c>
      <c r="M39" s="4" t="n">
        <v>66.8</v>
      </c>
      <c r="N39" s="4" t="s">
        <v>22</v>
      </c>
      <c r="O39" s="5" t="s">
        <v>23</v>
      </c>
    </row>
    <row r="40" customFormat="false" ht="15" hidden="false" customHeight="false" outlineLevel="0" collapsed="false">
      <c r="A40" s="6" t="s">
        <v>72</v>
      </c>
      <c r="B40" s="6" t="s">
        <v>73</v>
      </c>
      <c r="C40" s="6" t="s">
        <v>28</v>
      </c>
      <c r="D40" s="6" t="s">
        <v>20</v>
      </c>
      <c r="E40" s="6" t="s">
        <v>36</v>
      </c>
      <c r="F40" s="6" t="n">
        <v>23.1</v>
      </c>
      <c r="G40" s="6" t="n">
        <v>4.562</v>
      </c>
      <c r="H40" s="6" t="n">
        <v>0.759</v>
      </c>
      <c r="I40" s="6" t="n">
        <v>2816</v>
      </c>
      <c r="J40" s="6" t="n">
        <v>0.843</v>
      </c>
      <c r="K40" s="6" t="n">
        <v>2.1</v>
      </c>
      <c r="L40" s="6" t="n">
        <v>45.5</v>
      </c>
      <c r="M40" s="6" t="n">
        <v>68.9</v>
      </c>
      <c r="N40" s="6" t="s">
        <v>22</v>
      </c>
      <c r="O40" s="7" t="s">
        <v>23</v>
      </c>
    </row>
    <row r="41" customFormat="false" ht="15" hidden="false" customHeight="false" outlineLevel="0" collapsed="false">
      <c r="A41" s="4" t="s">
        <v>74</v>
      </c>
      <c r="B41" s="4" t="s">
        <v>73</v>
      </c>
      <c r="C41" s="4" t="s">
        <v>19</v>
      </c>
      <c r="D41" s="4" t="s">
        <v>26</v>
      </c>
      <c r="E41" s="4" t="s">
        <v>36</v>
      </c>
      <c r="F41" s="4" t="n">
        <v>24.5</v>
      </c>
      <c r="G41" s="4" t="n">
        <v>4.422</v>
      </c>
      <c r="H41" s="4" t="n">
        <v>0.75</v>
      </c>
      <c r="I41" s="4" t="n">
        <v>2841</v>
      </c>
      <c r="J41" s="4" t="n">
        <v>0.884</v>
      </c>
      <c r="K41" s="4" t="n">
        <v>2.04</v>
      </c>
      <c r="L41" s="4" t="n">
        <v>46.1</v>
      </c>
      <c r="M41" s="4" t="n">
        <v>63.6</v>
      </c>
      <c r="N41" s="4" t="s">
        <v>22</v>
      </c>
      <c r="O41" s="5" t="s">
        <v>23</v>
      </c>
    </row>
    <row r="42" customFormat="false" ht="15" hidden="false" customHeight="false" outlineLevel="0" collapsed="false">
      <c r="A42" s="6" t="s">
        <v>75</v>
      </c>
      <c r="B42" s="6" t="s">
        <v>73</v>
      </c>
      <c r="C42" s="6" t="s">
        <v>25</v>
      </c>
      <c r="D42" s="6" t="s">
        <v>29</v>
      </c>
      <c r="E42" s="6" t="s">
        <v>36</v>
      </c>
      <c r="F42" s="6" t="n">
        <v>23.3</v>
      </c>
      <c r="G42" s="6" t="n">
        <v>4.577</v>
      </c>
      <c r="H42" s="6" t="n">
        <v>0.725</v>
      </c>
      <c r="I42" s="6" t="n">
        <v>2787</v>
      </c>
      <c r="J42" s="6" t="n">
        <v>0.871</v>
      </c>
      <c r="K42" s="6" t="n">
        <v>1.46</v>
      </c>
      <c r="L42" s="6" t="n">
        <v>46.4</v>
      </c>
      <c r="M42" s="6" t="n">
        <v>62.1</v>
      </c>
      <c r="N42" s="6" t="s">
        <v>22</v>
      </c>
      <c r="O42" s="7" t="s">
        <v>23</v>
      </c>
    </row>
    <row r="43" customFormat="false" ht="15" hidden="false" customHeight="false" outlineLevel="0" collapsed="false">
      <c r="A43" s="4" t="s">
        <v>76</v>
      </c>
      <c r="B43" s="4" t="s">
        <v>73</v>
      </c>
      <c r="C43" s="4" t="s">
        <v>28</v>
      </c>
      <c r="D43" s="4" t="s">
        <v>31</v>
      </c>
      <c r="E43" s="4" t="s">
        <v>36</v>
      </c>
      <c r="F43" s="4" t="n">
        <v>27</v>
      </c>
      <c r="G43" s="4" t="n">
        <v>4.523</v>
      </c>
      <c r="H43" s="4" t="n">
        <v>0.71</v>
      </c>
      <c r="I43" s="4" t="n">
        <v>2854</v>
      </c>
      <c r="J43" s="4" t="n">
        <v>0.764</v>
      </c>
      <c r="K43" s="4" t="n">
        <v>1.84</v>
      </c>
      <c r="L43" s="4" t="n">
        <v>52.2</v>
      </c>
      <c r="M43" s="4" t="n">
        <v>65.3</v>
      </c>
      <c r="N43" s="4" t="s">
        <v>22</v>
      </c>
      <c r="O43" s="5" t="s">
        <v>23</v>
      </c>
    </row>
    <row r="44" customFormat="false" ht="15" hidden="false" customHeight="false" outlineLevel="0" collapsed="false">
      <c r="A44" s="6" t="s">
        <v>77</v>
      </c>
      <c r="B44" s="6" t="s">
        <v>73</v>
      </c>
      <c r="C44" s="6" t="s">
        <v>19</v>
      </c>
      <c r="D44" s="6" t="s">
        <v>33</v>
      </c>
      <c r="E44" s="6" t="s">
        <v>36</v>
      </c>
      <c r="F44" s="6" t="n">
        <v>25</v>
      </c>
      <c r="G44" s="6" t="n">
        <v>4.496</v>
      </c>
      <c r="H44" s="6" t="n">
        <v>0.706</v>
      </c>
      <c r="I44" s="6" t="n">
        <v>2774</v>
      </c>
      <c r="J44" s="6" t="n">
        <v>0.811</v>
      </c>
      <c r="K44" s="6" t="n">
        <v>1.75</v>
      </c>
      <c r="L44" s="6" t="n">
        <v>47.7</v>
      </c>
      <c r="M44" s="6" t="n">
        <v>64.6</v>
      </c>
      <c r="N44" s="6" t="s">
        <v>22</v>
      </c>
      <c r="O44" s="7" t="s">
        <v>23</v>
      </c>
    </row>
    <row r="45" customFormat="false" ht="15" hidden="false" customHeight="false" outlineLevel="0" collapsed="false">
      <c r="A45" s="4" t="s">
        <v>78</v>
      </c>
      <c r="B45" s="4" t="s">
        <v>79</v>
      </c>
      <c r="C45" s="4" t="s">
        <v>25</v>
      </c>
      <c r="D45" s="4" t="s">
        <v>20</v>
      </c>
      <c r="E45" s="4" t="s">
        <v>43</v>
      </c>
      <c r="F45" s="4" t="n">
        <v>25</v>
      </c>
      <c r="G45" s="4" t="n">
        <v>4.705</v>
      </c>
      <c r="H45" s="4" t="n">
        <v>0.734</v>
      </c>
      <c r="I45" s="4" t="n">
        <v>2842</v>
      </c>
      <c r="J45" s="4" t="n">
        <v>0.881</v>
      </c>
      <c r="K45" s="4" t="n">
        <v>1.88</v>
      </c>
      <c r="L45" s="4" t="n">
        <v>46.2</v>
      </c>
      <c r="M45" s="4" t="n">
        <v>63.1</v>
      </c>
      <c r="N45" s="4" t="s">
        <v>22</v>
      </c>
      <c r="O45" s="5" t="s">
        <v>23</v>
      </c>
    </row>
    <row r="46" customFormat="false" ht="15" hidden="false" customHeight="false" outlineLevel="0" collapsed="false">
      <c r="A46" s="6" t="s">
        <v>80</v>
      </c>
      <c r="B46" s="6" t="s">
        <v>79</v>
      </c>
      <c r="C46" s="6" t="s">
        <v>28</v>
      </c>
      <c r="D46" s="6" t="s">
        <v>26</v>
      </c>
      <c r="E46" s="6" t="s">
        <v>43</v>
      </c>
      <c r="F46" s="6" t="n">
        <v>26.2</v>
      </c>
      <c r="G46" s="6" t="n">
        <v>4.503</v>
      </c>
      <c r="H46" s="6" t="n">
        <v>0.626</v>
      </c>
      <c r="I46" s="6" t="n">
        <v>2798</v>
      </c>
      <c r="J46" s="6" t="n">
        <v>0.866</v>
      </c>
      <c r="K46" s="6" t="n">
        <v>1.88</v>
      </c>
      <c r="L46" s="6" t="n">
        <v>46.3</v>
      </c>
      <c r="M46" s="6" t="n">
        <v>63.4</v>
      </c>
      <c r="N46" s="6" t="s">
        <v>22</v>
      </c>
      <c r="O46" s="7" t="s">
        <v>23</v>
      </c>
    </row>
    <row r="47" customFormat="false" ht="15" hidden="false" customHeight="false" outlineLevel="0" collapsed="false">
      <c r="A47" s="4" t="s">
        <v>81</v>
      </c>
      <c r="B47" s="4" t="s">
        <v>79</v>
      </c>
      <c r="C47" s="4" t="s">
        <v>19</v>
      </c>
      <c r="D47" s="4" t="s">
        <v>29</v>
      </c>
      <c r="E47" s="4" t="s">
        <v>43</v>
      </c>
      <c r="F47" s="4" t="n">
        <v>26.3</v>
      </c>
      <c r="G47" s="4" t="n">
        <v>4.665</v>
      </c>
      <c r="H47" s="4" t="n">
        <v>0.76</v>
      </c>
      <c r="I47" s="4" t="n">
        <v>2835</v>
      </c>
      <c r="J47" s="4" t="n">
        <v>0.856</v>
      </c>
      <c r="K47" s="4" t="n">
        <v>2.35</v>
      </c>
      <c r="L47" s="4" t="n">
        <v>54.6</v>
      </c>
      <c r="M47" s="4" t="n">
        <v>66</v>
      </c>
      <c r="N47" s="4" t="s">
        <v>22</v>
      </c>
      <c r="O47" s="5" t="s">
        <v>23</v>
      </c>
    </row>
    <row r="48" customFormat="false" ht="15" hidden="false" customHeight="false" outlineLevel="0" collapsed="false">
      <c r="A48" s="6" t="s">
        <v>82</v>
      </c>
      <c r="B48" s="6" t="s">
        <v>79</v>
      </c>
      <c r="C48" s="6" t="s">
        <v>25</v>
      </c>
      <c r="D48" s="6" t="s">
        <v>31</v>
      </c>
      <c r="E48" s="6" t="s">
        <v>43</v>
      </c>
      <c r="F48" s="6" t="n">
        <v>23.1</v>
      </c>
      <c r="G48" s="6" t="n">
        <v>4.526</v>
      </c>
      <c r="H48" s="6" t="n">
        <v>0.727</v>
      </c>
      <c r="I48" s="6" t="n">
        <v>2772</v>
      </c>
      <c r="J48" s="6" t="n">
        <v>0.848</v>
      </c>
      <c r="K48" s="6" t="n">
        <v>1.64</v>
      </c>
      <c r="L48" s="6" t="n">
        <v>45.7</v>
      </c>
      <c r="M48" s="6" t="n">
        <v>65.8</v>
      </c>
      <c r="N48" s="6" t="s">
        <v>22</v>
      </c>
      <c r="O48" s="7" t="s">
        <v>23</v>
      </c>
    </row>
    <row r="49" customFormat="false" ht="15" hidden="false" customHeight="false" outlineLevel="0" collapsed="false">
      <c r="A49" s="4" t="s">
        <v>83</v>
      </c>
      <c r="B49" s="4" t="s">
        <v>79</v>
      </c>
      <c r="C49" s="4" t="s">
        <v>28</v>
      </c>
      <c r="D49" s="4" t="s">
        <v>33</v>
      </c>
      <c r="E49" s="4" t="s">
        <v>43</v>
      </c>
      <c r="F49" s="4" t="n">
        <v>22.7</v>
      </c>
      <c r="G49" s="4" t="n">
        <v>4.378</v>
      </c>
      <c r="H49" s="4" t="n">
        <v>0.639</v>
      </c>
      <c r="I49" s="4" t="n">
        <v>2797</v>
      </c>
      <c r="J49" s="4" t="n">
        <v>0.822</v>
      </c>
      <c r="K49" s="4" t="n">
        <v>1.83</v>
      </c>
      <c r="L49" s="4" t="n">
        <v>47.2</v>
      </c>
      <c r="M49" s="4" t="n">
        <v>62</v>
      </c>
      <c r="N49" s="4" t="s">
        <v>22</v>
      </c>
      <c r="O49" s="5" t="s">
        <v>23</v>
      </c>
    </row>
    <row r="50" customFormat="false" ht="15" hidden="false" customHeight="false" outlineLevel="0" collapsed="false">
      <c r="A50" s="6" t="s">
        <v>84</v>
      </c>
      <c r="B50" s="6" t="s">
        <v>85</v>
      </c>
      <c r="C50" s="6" t="s">
        <v>19</v>
      </c>
      <c r="D50" s="6" t="s">
        <v>20</v>
      </c>
      <c r="E50" s="6" t="s">
        <v>21</v>
      </c>
      <c r="F50" s="6" t="n">
        <v>22.4</v>
      </c>
      <c r="G50" s="6" t="n">
        <v>4.558</v>
      </c>
      <c r="H50" s="6" t="n">
        <v>0.747</v>
      </c>
      <c r="I50" s="6" t="n">
        <v>2818</v>
      </c>
      <c r="J50" s="6" t="n">
        <v>0.854</v>
      </c>
      <c r="K50" s="6" t="n">
        <v>1.59</v>
      </c>
      <c r="L50" s="6" t="n">
        <v>53.8</v>
      </c>
      <c r="M50" s="6" t="n">
        <v>66.3</v>
      </c>
      <c r="N50" s="6" t="s">
        <v>22</v>
      </c>
      <c r="O50" s="7" t="s">
        <v>23</v>
      </c>
    </row>
    <row r="51" customFormat="false" ht="15" hidden="false" customHeight="false" outlineLevel="0" collapsed="false">
      <c r="A51" s="4" t="s">
        <v>86</v>
      </c>
      <c r="B51" s="4" t="s">
        <v>85</v>
      </c>
      <c r="C51" s="4" t="s">
        <v>25</v>
      </c>
      <c r="D51" s="4" t="s">
        <v>26</v>
      </c>
      <c r="E51" s="4" t="s">
        <v>21</v>
      </c>
      <c r="F51" s="4" t="n">
        <v>24.4</v>
      </c>
      <c r="G51" s="4" t="n">
        <v>4.505</v>
      </c>
      <c r="H51" s="4" t="n">
        <v>0.744</v>
      </c>
      <c r="I51" s="4" t="n">
        <v>2814</v>
      </c>
      <c r="J51" s="4" t="n">
        <v>0.882</v>
      </c>
      <c r="K51" s="4" t="n">
        <v>1.99</v>
      </c>
      <c r="L51" s="4" t="n">
        <v>55.9</v>
      </c>
      <c r="M51" s="4" t="n">
        <v>64.5</v>
      </c>
      <c r="N51" s="4" t="s">
        <v>22</v>
      </c>
      <c r="O51" s="5" t="s">
        <v>23</v>
      </c>
    </row>
    <row r="52" customFormat="false" ht="15" hidden="false" customHeight="false" outlineLevel="0" collapsed="false">
      <c r="A52" s="6" t="s">
        <v>87</v>
      </c>
      <c r="B52" s="6" t="s">
        <v>85</v>
      </c>
      <c r="C52" s="6" t="s">
        <v>28</v>
      </c>
      <c r="D52" s="6" t="s">
        <v>29</v>
      </c>
      <c r="E52" s="6" t="s">
        <v>21</v>
      </c>
      <c r="F52" s="6" t="n">
        <v>23.9</v>
      </c>
      <c r="G52" s="6" t="n">
        <v>4.631</v>
      </c>
      <c r="H52" s="6" t="n">
        <v>0.702</v>
      </c>
      <c r="I52" s="6" t="n">
        <v>2885</v>
      </c>
      <c r="J52" s="6" t="n">
        <v>0.878</v>
      </c>
      <c r="K52" s="6" t="n">
        <v>2.11</v>
      </c>
      <c r="L52" s="6" t="n">
        <v>50.3</v>
      </c>
      <c r="M52" s="6" t="n">
        <v>66.1</v>
      </c>
      <c r="N52" s="6" t="s">
        <v>22</v>
      </c>
      <c r="O52" s="7" t="s">
        <v>23</v>
      </c>
    </row>
    <row r="53" customFormat="false" ht="15" hidden="false" customHeight="false" outlineLevel="0" collapsed="false">
      <c r="A53" s="4" t="s">
        <v>88</v>
      </c>
      <c r="B53" s="4" t="s">
        <v>85</v>
      </c>
      <c r="C53" s="4" t="s">
        <v>19</v>
      </c>
      <c r="D53" s="4" t="s">
        <v>31</v>
      </c>
      <c r="E53" s="4" t="s">
        <v>21</v>
      </c>
      <c r="F53" s="4" t="n">
        <v>23.9</v>
      </c>
      <c r="G53" s="4" t="n">
        <v>4.61</v>
      </c>
      <c r="H53" s="4" t="n">
        <v>0.729</v>
      </c>
      <c r="I53" s="4" t="n">
        <v>2796</v>
      </c>
      <c r="J53" s="4" t="n">
        <v>0.856</v>
      </c>
      <c r="K53" s="4" t="n">
        <v>2.38</v>
      </c>
      <c r="L53" s="4" t="n">
        <v>45.1</v>
      </c>
      <c r="M53" s="4" t="n">
        <v>66</v>
      </c>
      <c r="N53" s="4" t="s">
        <v>22</v>
      </c>
      <c r="O53" s="5" t="s">
        <v>23</v>
      </c>
    </row>
    <row r="54" customFormat="false" ht="15" hidden="false" customHeight="false" outlineLevel="0" collapsed="false">
      <c r="A54" s="6" t="s">
        <v>89</v>
      </c>
      <c r="B54" s="6" t="s">
        <v>85</v>
      </c>
      <c r="C54" s="6" t="s">
        <v>25</v>
      </c>
      <c r="D54" s="6" t="s">
        <v>33</v>
      </c>
      <c r="E54" s="6" t="s">
        <v>21</v>
      </c>
      <c r="F54" s="6" t="n">
        <v>23.2</v>
      </c>
      <c r="G54" s="6" t="n">
        <v>4.568</v>
      </c>
      <c r="H54" s="6" t="n">
        <v>0.685</v>
      </c>
      <c r="I54" s="6" t="n">
        <v>2848</v>
      </c>
      <c r="J54" s="6" t="n">
        <v>0.852</v>
      </c>
      <c r="K54" s="6" t="n">
        <v>1.83</v>
      </c>
      <c r="L54" s="6" t="n">
        <v>50.2</v>
      </c>
      <c r="M54" s="6" t="n">
        <v>65.6</v>
      </c>
      <c r="N54" s="6" t="s">
        <v>22</v>
      </c>
      <c r="O54" s="7" t="s">
        <v>23</v>
      </c>
    </row>
    <row r="55" customFormat="false" ht="15" hidden="false" customHeight="false" outlineLevel="0" collapsed="false">
      <c r="A55" s="4" t="s">
        <v>90</v>
      </c>
      <c r="B55" s="4" t="s">
        <v>91</v>
      </c>
      <c r="C55" s="4" t="s">
        <v>28</v>
      </c>
      <c r="D55" s="4" t="s">
        <v>20</v>
      </c>
      <c r="E55" s="4" t="s">
        <v>36</v>
      </c>
      <c r="F55" s="4" t="n">
        <v>22.2</v>
      </c>
      <c r="G55" s="4" t="n">
        <v>4.384</v>
      </c>
      <c r="H55" s="4" t="n">
        <v>0.721</v>
      </c>
      <c r="I55" s="4" t="n">
        <v>2801</v>
      </c>
      <c r="J55" s="4" t="n">
        <v>0.882</v>
      </c>
      <c r="K55" s="4" t="n">
        <v>2.15</v>
      </c>
      <c r="L55" s="4" t="n">
        <v>39.2</v>
      </c>
      <c r="M55" s="4" t="n">
        <v>63.1</v>
      </c>
      <c r="N55" s="4" t="s">
        <v>22</v>
      </c>
      <c r="O55" s="5" t="s">
        <v>23</v>
      </c>
    </row>
    <row r="56" customFormat="false" ht="15" hidden="false" customHeight="false" outlineLevel="0" collapsed="false">
      <c r="A56" s="6" t="s">
        <v>92</v>
      </c>
      <c r="B56" s="6" t="s">
        <v>91</v>
      </c>
      <c r="C56" s="6" t="s">
        <v>19</v>
      </c>
      <c r="D56" s="6" t="s">
        <v>26</v>
      </c>
      <c r="E56" s="6" t="s">
        <v>36</v>
      </c>
      <c r="F56" s="6" t="n">
        <v>22.9</v>
      </c>
      <c r="G56" s="6" t="n">
        <v>4.577</v>
      </c>
      <c r="H56" s="6" t="n">
        <v>0.769</v>
      </c>
      <c r="I56" s="6" t="n">
        <v>2734</v>
      </c>
      <c r="J56" s="6" t="n">
        <v>0.876</v>
      </c>
      <c r="K56" s="6" t="n">
        <v>1.75</v>
      </c>
      <c r="L56" s="6" t="n">
        <v>41.8</v>
      </c>
      <c r="M56" s="6" t="n">
        <v>64.1</v>
      </c>
      <c r="N56" s="6" t="s">
        <v>22</v>
      </c>
      <c r="O56" s="7" t="s">
        <v>23</v>
      </c>
    </row>
    <row r="57" customFormat="false" ht="15" hidden="false" customHeight="false" outlineLevel="0" collapsed="false">
      <c r="A57" s="4" t="s">
        <v>93</v>
      </c>
      <c r="B57" s="4" t="s">
        <v>91</v>
      </c>
      <c r="C57" s="4" t="s">
        <v>25</v>
      </c>
      <c r="D57" s="4" t="s">
        <v>29</v>
      </c>
      <c r="E57" s="4" t="s">
        <v>36</v>
      </c>
      <c r="F57" s="4" t="n">
        <v>23.8</v>
      </c>
      <c r="G57" s="4" t="n">
        <v>4.574</v>
      </c>
      <c r="H57" s="4" t="n">
        <v>0.746</v>
      </c>
      <c r="I57" s="4" t="n">
        <v>2784</v>
      </c>
      <c r="J57" s="4" t="n">
        <v>0.841</v>
      </c>
      <c r="K57" s="4" t="n">
        <v>2.04</v>
      </c>
      <c r="L57" s="4" t="n">
        <v>44.6</v>
      </c>
      <c r="M57" s="4" t="n">
        <v>67</v>
      </c>
      <c r="N57" s="4" t="s">
        <v>22</v>
      </c>
      <c r="O57" s="5" t="s">
        <v>23</v>
      </c>
    </row>
    <row r="58" customFormat="false" ht="15" hidden="false" customHeight="false" outlineLevel="0" collapsed="false">
      <c r="A58" s="6" t="s">
        <v>94</v>
      </c>
      <c r="B58" s="6" t="s">
        <v>91</v>
      </c>
      <c r="C58" s="6" t="s">
        <v>28</v>
      </c>
      <c r="D58" s="6" t="s">
        <v>31</v>
      </c>
      <c r="E58" s="6" t="s">
        <v>36</v>
      </c>
      <c r="F58" s="6" t="n">
        <v>24.1</v>
      </c>
      <c r="G58" s="6" t="n">
        <v>4.608</v>
      </c>
      <c r="H58" s="6" t="n">
        <v>0.713</v>
      </c>
      <c r="I58" s="6" t="n">
        <v>2803</v>
      </c>
      <c r="J58" s="6" t="n">
        <v>0.849</v>
      </c>
      <c r="K58" s="6" t="n">
        <v>1.76</v>
      </c>
      <c r="L58" s="6" t="n">
        <v>51.8</v>
      </c>
      <c r="M58" s="6" t="n">
        <v>62.6</v>
      </c>
      <c r="N58" s="6" t="s">
        <v>22</v>
      </c>
      <c r="O58" s="7" t="s">
        <v>23</v>
      </c>
    </row>
    <row r="59" customFormat="false" ht="15" hidden="false" customHeight="false" outlineLevel="0" collapsed="false">
      <c r="A59" s="4" t="s">
        <v>95</v>
      </c>
      <c r="B59" s="4" t="s">
        <v>91</v>
      </c>
      <c r="C59" s="4" t="s">
        <v>19</v>
      </c>
      <c r="D59" s="4" t="s">
        <v>33</v>
      </c>
      <c r="E59" s="4" t="s">
        <v>36</v>
      </c>
      <c r="F59" s="4" t="n">
        <v>23.5</v>
      </c>
      <c r="G59" s="4" t="n">
        <v>4.667</v>
      </c>
      <c r="H59" s="4" t="n">
        <v>0.771</v>
      </c>
      <c r="I59" s="4" t="n">
        <v>2750</v>
      </c>
      <c r="J59" s="4" t="n">
        <v>0.768</v>
      </c>
      <c r="K59" s="4" t="n">
        <v>2.26</v>
      </c>
      <c r="L59" s="4" t="n">
        <v>58.6</v>
      </c>
      <c r="M59" s="4" t="n">
        <v>62.1</v>
      </c>
      <c r="N59" s="4" t="s">
        <v>22</v>
      </c>
      <c r="O59" s="5" t="s">
        <v>23</v>
      </c>
    </row>
    <row r="60" customFormat="false" ht="15" hidden="false" customHeight="false" outlineLevel="0" collapsed="false">
      <c r="A60" s="6" t="s">
        <v>96</v>
      </c>
      <c r="B60" s="6" t="s">
        <v>97</v>
      </c>
      <c r="C60" s="6" t="s">
        <v>25</v>
      </c>
      <c r="D60" s="6" t="s">
        <v>20</v>
      </c>
      <c r="E60" s="6" t="s">
        <v>43</v>
      </c>
      <c r="F60" s="6" t="n">
        <v>22.5</v>
      </c>
      <c r="G60" s="6" t="n">
        <v>4.424</v>
      </c>
      <c r="H60" s="6" t="n">
        <v>0.733</v>
      </c>
      <c r="I60" s="6" t="n">
        <v>2781</v>
      </c>
      <c r="J60" s="6" t="n">
        <v>0.834</v>
      </c>
      <c r="K60" s="6" t="n">
        <v>2.49</v>
      </c>
      <c r="L60" s="6" t="n">
        <v>51.3</v>
      </c>
      <c r="M60" s="6" t="n">
        <v>69.1</v>
      </c>
      <c r="N60" s="6" t="s">
        <v>22</v>
      </c>
      <c r="O60" s="7" t="s">
        <v>23</v>
      </c>
    </row>
    <row r="61" customFormat="false" ht="15" hidden="false" customHeight="false" outlineLevel="0" collapsed="false">
      <c r="A61" s="4" t="s">
        <v>98</v>
      </c>
      <c r="B61" s="4" t="s">
        <v>97</v>
      </c>
      <c r="C61" s="4" t="s">
        <v>28</v>
      </c>
      <c r="D61" s="4" t="s">
        <v>26</v>
      </c>
      <c r="E61" s="4" t="s">
        <v>43</v>
      </c>
      <c r="F61" s="4" t="n">
        <v>22.3</v>
      </c>
      <c r="G61" s="4" t="n">
        <v>4.533</v>
      </c>
      <c r="H61" s="4" t="n">
        <v>0.737</v>
      </c>
      <c r="I61" s="4" t="n">
        <v>2799</v>
      </c>
      <c r="J61" s="4" t="n">
        <v>0.901</v>
      </c>
      <c r="K61" s="4" t="n">
        <v>1.96</v>
      </c>
      <c r="L61" s="4" t="n">
        <v>42.8</v>
      </c>
      <c r="M61" s="4" t="n">
        <v>62.4</v>
      </c>
      <c r="N61" s="4" t="s">
        <v>22</v>
      </c>
      <c r="O61" s="5" t="s">
        <v>23</v>
      </c>
    </row>
    <row r="62" customFormat="false" ht="15" hidden="false" customHeight="false" outlineLevel="0" collapsed="false">
      <c r="A62" s="6" t="s">
        <v>99</v>
      </c>
      <c r="B62" s="6" t="s">
        <v>97</v>
      </c>
      <c r="C62" s="6" t="s">
        <v>19</v>
      </c>
      <c r="D62" s="6" t="s">
        <v>29</v>
      </c>
      <c r="E62" s="6" t="s">
        <v>43</v>
      </c>
      <c r="F62" s="6" t="n">
        <v>25.1</v>
      </c>
      <c r="G62" s="6" t="n">
        <v>4.694</v>
      </c>
      <c r="H62" s="6" t="n">
        <v>0.691</v>
      </c>
      <c r="I62" s="6" t="n">
        <v>2740</v>
      </c>
      <c r="J62" s="6" t="n">
        <v>0.921</v>
      </c>
      <c r="K62" s="6" t="n">
        <v>1.98</v>
      </c>
      <c r="L62" s="6" t="n">
        <v>53.1</v>
      </c>
      <c r="M62" s="6" t="n">
        <v>65.6</v>
      </c>
      <c r="N62" s="6" t="s">
        <v>22</v>
      </c>
      <c r="O62" s="7" t="s">
        <v>23</v>
      </c>
    </row>
    <row r="63" customFormat="false" ht="15" hidden="false" customHeight="false" outlineLevel="0" collapsed="false">
      <c r="A63" s="4" t="s">
        <v>100</v>
      </c>
      <c r="B63" s="4" t="s">
        <v>97</v>
      </c>
      <c r="C63" s="4" t="s">
        <v>25</v>
      </c>
      <c r="D63" s="4" t="s">
        <v>31</v>
      </c>
      <c r="E63" s="4" t="s">
        <v>43</v>
      </c>
      <c r="F63" s="4" t="n">
        <v>24.2</v>
      </c>
      <c r="G63" s="4" t="n">
        <v>4.499</v>
      </c>
      <c r="H63" s="4" t="n">
        <v>0.635</v>
      </c>
      <c r="I63" s="4" t="n">
        <v>2856</v>
      </c>
      <c r="J63" s="4" t="n">
        <v>0.832</v>
      </c>
      <c r="K63" s="4" t="n">
        <v>2.55</v>
      </c>
      <c r="L63" s="4" t="n">
        <v>43.1</v>
      </c>
      <c r="M63" s="4" t="n">
        <v>66.3</v>
      </c>
      <c r="N63" s="4" t="s">
        <v>22</v>
      </c>
      <c r="O63" s="5" t="s">
        <v>23</v>
      </c>
    </row>
    <row r="64" customFormat="false" ht="15" hidden="false" customHeight="false" outlineLevel="0" collapsed="false">
      <c r="A64" s="6" t="s">
        <v>101</v>
      </c>
      <c r="B64" s="6" t="s">
        <v>97</v>
      </c>
      <c r="C64" s="6" t="s">
        <v>28</v>
      </c>
      <c r="D64" s="6" t="s">
        <v>33</v>
      </c>
      <c r="E64" s="6" t="s">
        <v>43</v>
      </c>
      <c r="F64" s="6" t="n">
        <v>26.3</v>
      </c>
      <c r="G64" s="6" t="n">
        <v>4.498</v>
      </c>
      <c r="H64" s="6" t="n">
        <v>0.781</v>
      </c>
      <c r="I64" s="6" t="n">
        <v>2865</v>
      </c>
      <c r="J64" s="6" t="n">
        <v>0.85</v>
      </c>
      <c r="K64" s="6" t="n">
        <v>1.55</v>
      </c>
      <c r="L64" s="6" t="n">
        <v>49.6</v>
      </c>
      <c r="M64" s="6" t="n">
        <v>66.3</v>
      </c>
      <c r="N64" s="6" t="s">
        <v>22</v>
      </c>
      <c r="O64" s="7" t="s">
        <v>23</v>
      </c>
    </row>
    <row r="65" customFormat="false" ht="15" hidden="false" customHeight="false" outlineLevel="0" collapsed="false">
      <c r="A65" s="4" t="s">
        <v>102</v>
      </c>
      <c r="B65" s="4" t="s">
        <v>103</v>
      </c>
      <c r="C65" s="4" t="s">
        <v>19</v>
      </c>
      <c r="D65" s="4" t="s">
        <v>20</v>
      </c>
      <c r="E65" s="4" t="s">
        <v>21</v>
      </c>
      <c r="F65" s="4" t="n">
        <v>22.9</v>
      </c>
      <c r="G65" s="4" t="n">
        <v>4.487</v>
      </c>
      <c r="H65" s="4" t="n">
        <v>0.743</v>
      </c>
      <c r="I65" s="4" t="n">
        <v>2797</v>
      </c>
      <c r="J65" s="4" t="n">
        <v>0.847</v>
      </c>
      <c r="K65" s="4" t="n">
        <v>2.08</v>
      </c>
      <c r="L65" s="4" t="n">
        <v>41.4</v>
      </c>
      <c r="M65" s="4" t="n">
        <v>65</v>
      </c>
      <c r="N65" s="4" t="s">
        <v>22</v>
      </c>
      <c r="O65" s="5" t="s">
        <v>23</v>
      </c>
    </row>
    <row r="66" customFormat="false" ht="15" hidden="false" customHeight="false" outlineLevel="0" collapsed="false">
      <c r="A66" s="6" t="s">
        <v>104</v>
      </c>
      <c r="B66" s="6" t="s">
        <v>103</v>
      </c>
      <c r="C66" s="6" t="s">
        <v>25</v>
      </c>
      <c r="D66" s="6" t="s">
        <v>26</v>
      </c>
      <c r="E66" s="6" t="s">
        <v>21</v>
      </c>
      <c r="F66" s="6" t="n">
        <v>24</v>
      </c>
      <c r="G66" s="6" t="n">
        <v>4.6</v>
      </c>
      <c r="H66" s="6" t="n">
        <v>0.761</v>
      </c>
      <c r="I66" s="6" t="n">
        <v>2752</v>
      </c>
      <c r="J66" s="6" t="n">
        <v>0.877</v>
      </c>
      <c r="K66" s="6" t="n">
        <v>3.06</v>
      </c>
      <c r="L66" s="6" t="n">
        <v>45</v>
      </c>
      <c r="M66" s="6" t="n">
        <v>65.2</v>
      </c>
      <c r="N66" s="6" t="s">
        <v>22</v>
      </c>
      <c r="O66" s="7" t="s">
        <v>23</v>
      </c>
    </row>
    <row r="67" customFormat="false" ht="15" hidden="false" customHeight="false" outlineLevel="0" collapsed="false">
      <c r="A67" s="4" t="s">
        <v>105</v>
      </c>
      <c r="B67" s="4" t="s">
        <v>103</v>
      </c>
      <c r="C67" s="4" t="s">
        <v>28</v>
      </c>
      <c r="D67" s="4" t="s">
        <v>29</v>
      </c>
      <c r="E67" s="4" t="s">
        <v>21</v>
      </c>
      <c r="F67" s="4" t="n">
        <v>22.3</v>
      </c>
      <c r="G67" s="4" t="n">
        <v>4.538</v>
      </c>
      <c r="H67" s="4" t="n">
        <v>0.691</v>
      </c>
      <c r="I67" s="4" t="n">
        <v>2754</v>
      </c>
      <c r="J67" s="4" t="n">
        <v>0.871</v>
      </c>
      <c r="K67" s="4" t="n">
        <v>2.15</v>
      </c>
      <c r="L67" s="4" t="n">
        <v>51</v>
      </c>
      <c r="M67" s="4" t="n">
        <v>66.6</v>
      </c>
      <c r="N67" s="4" t="s">
        <v>22</v>
      </c>
      <c r="O67" s="5" t="s">
        <v>23</v>
      </c>
    </row>
    <row r="68" customFormat="false" ht="15" hidden="false" customHeight="false" outlineLevel="0" collapsed="false">
      <c r="A68" s="6" t="s">
        <v>106</v>
      </c>
      <c r="B68" s="6" t="s">
        <v>103</v>
      </c>
      <c r="C68" s="6" t="s">
        <v>19</v>
      </c>
      <c r="D68" s="6" t="s">
        <v>31</v>
      </c>
      <c r="E68" s="6" t="s">
        <v>21</v>
      </c>
      <c r="F68" s="6" t="n">
        <v>22.5</v>
      </c>
      <c r="G68" s="6" t="n">
        <v>4.411</v>
      </c>
      <c r="H68" s="6" t="n">
        <v>0.766</v>
      </c>
      <c r="I68" s="6" t="n">
        <v>2830</v>
      </c>
      <c r="J68" s="6" t="n">
        <v>0.86</v>
      </c>
      <c r="K68" s="6" t="n">
        <v>1.45</v>
      </c>
      <c r="L68" s="6" t="n">
        <v>53.2</v>
      </c>
      <c r="M68" s="6" t="n">
        <v>63.2</v>
      </c>
      <c r="N68" s="6" t="s">
        <v>22</v>
      </c>
      <c r="O68" s="7" t="s">
        <v>23</v>
      </c>
    </row>
    <row r="69" customFormat="false" ht="15" hidden="false" customHeight="false" outlineLevel="0" collapsed="false">
      <c r="A69" s="4" t="s">
        <v>107</v>
      </c>
      <c r="B69" s="4" t="s">
        <v>103</v>
      </c>
      <c r="C69" s="4" t="s">
        <v>25</v>
      </c>
      <c r="D69" s="4" t="s">
        <v>33</v>
      </c>
      <c r="E69" s="4" t="s">
        <v>21</v>
      </c>
      <c r="F69" s="4" t="n">
        <v>21.8</v>
      </c>
      <c r="G69" s="4" t="n">
        <v>4.605</v>
      </c>
      <c r="H69" s="4" t="n">
        <v>0.737</v>
      </c>
      <c r="I69" s="4" t="n">
        <v>2802</v>
      </c>
      <c r="J69" s="4" t="n">
        <v>0.834</v>
      </c>
      <c r="K69" s="4" t="n">
        <v>1.94</v>
      </c>
      <c r="L69" s="4" t="n">
        <v>55.7</v>
      </c>
      <c r="M69" s="4" t="n">
        <v>66.6</v>
      </c>
      <c r="N69" s="4" t="s">
        <v>22</v>
      </c>
      <c r="O69" s="5" t="s">
        <v>23</v>
      </c>
    </row>
    <row r="70" customFormat="false" ht="15" hidden="false" customHeight="false" outlineLevel="0" collapsed="false">
      <c r="A70" s="6" t="s">
        <v>108</v>
      </c>
      <c r="B70" s="6" t="s">
        <v>109</v>
      </c>
      <c r="C70" s="6" t="s">
        <v>28</v>
      </c>
      <c r="D70" s="6" t="s">
        <v>20</v>
      </c>
      <c r="E70" s="6" t="s">
        <v>36</v>
      </c>
      <c r="F70" s="6" t="n">
        <v>24.2</v>
      </c>
      <c r="G70" s="6" t="n">
        <v>4.417</v>
      </c>
      <c r="H70" s="6" t="n">
        <v>0.769</v>
      </c>
      <c r="I70" s="6" t="n">
        <v>2859</v>
      </c>
      <c r="J70" s="6" t="n">
        <v>0.844</v>
      </c>
      <c r="K70" s="6" t="n">
        <v>1.69</v>
      </c>
      <c r="L70" s="6" t="n">
        <v>46.3</v>
      </c>
      <c r="M70" s="6" t="n">
        <v>62.3</v>
      </c>
      <c r="N70" s="6" t="s">
        <v>22</v>
      </c>
      <c r="O70" s="7" t="s">
        <v>23</v>
      </c>
    </row>
    <row r="71" customFormat="false" ht="15" hidden="false" customHeight="false" outlineLevel="0" collapsed="false">
      <c r="A71" s="4" t="s">
        <v>110</v>
      </c>
      <c r="B71" s="4" t="s">
        <v>109</v>
      </c>
      <c r="C71" s="4" t="s">
        <v>19</v>
      </c>
      <c r="D71" s="4" t="s">
        <v>26</v>
      </c>
      <c r="E71" s="4" t="s">
        <v>36</v>
      </c>
      <c r="F71" s="4" t="n">
        <v>24.6</v>
      </c>
      <c r="G71" s="4" t="n">
        <v>4.526</v>
      </c>
      <c r="H71" s="4" t="n">
        <v>0.795</v>
      </c>
      <c r="I71" s="4" t="n">
        <v>2816</v>
      </c>
      <c r="J71" s="4" t="n">
        <v>0.839</v>
      </c>
      <c r="K71" s="4" t="n">
        <v>2.2</v>
      </c>
      <c r="L71" s="4" t="n">
        <v>49.3</v>
      </c>
      <c r="M71" s="4" t="n">
        <v>67.8</v>
      </c>
      <c r="N71" s="4" t="s">
        <v>22</v>
      </c>
      <c r="O71" s="5" t="s">
        <v>23</v>
      </c>
    </row>
    <row r="72" customFormat="false" ht="15" hidden="false" customHeight="false" outlineLevel="0" collapsed="false">
      <c r="A72" s="6" t="s">
        <v>111</v>
      </c>
      <c r="B72" s="6" t="s">
        <v>109</v>
      </c>
      <c r="C72" s="6" t="s">
        <v>25</v>
      </c>
      <c r="D72" s="6" t="s">
        <v>29</v>
      </c>
      <c r="E72" s="6" t="s">
        <v>36</v>
      </c>
      <c r="F72" s="6" t="n">
        <v>24</v>
      </c>
      <c r="G72" s="6" t="n">
        <v>4.625</v>
      </c>
      <c r="H72" s="6" t="n">
        <v>0.698</v>
      </c>
      <c r="I72" s="6" t="n">
        <v>2841</v>
      </c>
      <c r="J72" s="6" t="n">
        <v>0.884</v>
      </c>
      <c r="K72" s="6" t="n">
        <v>1.98</v>
      </c>
      <c r="L72" s="6" t="n">
        <v>43.6</v>
      </c>
      <c r="M72" s="6" t="n">
        <v>69.1</v>
      </c>
      <c r="N72" s="6" t="s">
        <v>22</v>
      </c>
      <c r="O72" s="7" t="s">
        <v>23</v>
      </c>
    </row>
    <row r="73" customFormat="false" ht="15" hidden="false" customHeight="false" outlineLevel="0" collapsed="false">
      <c r="A73" s="4" t="s">
        <v>112</v>
      </c>
      <c r="B73" s="4" t="s">
        <v>109</v>
      </c>
      <c r="C73" s="4" t="s">
        <v>28</v>
      </c>
      <c r="D73" s="4" t="s">
        <v>31</v>
      </c>
      <c r="E73" s="4" t="s">
        <v>36</v>
      </c>
      <c r="F73" s="4" t="n">
        <v>26.5</v>
      </c>
      <c r="G73" s="4" t="n">
        <v>4.4</v>
      </c>
      <c r="H73" s="4" t="n">
        <v>0.741</v>
      </c>
      <c r="I73" s="4" t="n">
        <v>2728</v>
      </c>
      <c r="J73" s="4" t="n">
        <v>0.8</v>
      </c>
      <c r="K73" s="4" t="n">
        <v>1.56</v>
      </c>
      <c r="L73" s="4" t="n">
        <v>46.8</v>
      </c>
      <c r="M73" s="4" t="n">
        <v>67.6</v>
      </c>
      <c r="N73" s="4" t="s">
        <v>22</v>
      </c>
      <c r="O73" s="5" t="s">
        <v>23</v>
      </c>
    </row>
    <row r="74" customFormat="false" ht="15" hidden="false" customHeight="false" outlineLevel="0" collapsed="false">
      <c r="A74" s="6" t="s">
        <v>113</v>
      </c>
      <c r="B74" s="6" t="s">
        <v>109</v>
      </c>
      <c r="C74" s="6" t="s">
        <v>19</v>
      </c>
      <c r="D74" s="6" t="s">
        <v>33</v>
      </c>
      <c r="E74" s="6" t="s">
        <v>36</v>
      </c>
      <c r="F74" s="6" t="n">
        <v>21.7</v>
      </c>
      <c r="G74" s="6" t="n">
        <v>4.443</v>
      </c>
      <c r="H74" s="6" t="n">
        <v>0.748</v>
      </c>
      <c r="I74" s="6" t="n">
        <v>2744</v>
      </c>
      <c r="J74" s="6" t="n">
        <v>0.904</v>
      </c>
      <c r="K74" s="6" t="n">
        <v>1.96</v>
      </c>
      <c r="L74" s="6" t="n">
        <v>49.5</v>
      </c>
      <c r="M74" s="6" t="n">
        <v>64.4</v>
      </c>
      <c r="N74" s="6" t="s">
        <v>22</v>
      </c>
      <c r="O74" s="7" t="s">
        <v>23</v>
      </c>
    </row>
    <row r="75" customFormat="false" ht="15" hidden="false" customHeight="false" outlineLevel="0" collapsed="false">
      <c r="A75" s="4" t="s">
        <v>114</v>
      </c>
      <c r="B75" s="4" t="s">
        <v>115</v>
      </c>
      <c r="C75" s="4" t="s">
        <v>25</v>
      </c>
      <c r="D75" s="4" t="s">
        <v>20</v>
      </c>
      <c r="E75" s="4" t="s">
        <v>43</v>
      </c>
      <c r="F75" s="4" t="n">
        <v>25.8</v>
      </c>
      <c r="G75" s="4" t="n">
        <v>4.535</v>
      </c>
      <c r="H75" s="4" t="n">
        <v>0.769</v>
      </c>
      <c r="I75" s="4" t="n">
        <v>2780</v>
      </c>
      <c r="J75" s="4" t="n">
        <v>0.862</v>
      </c>
      <c r="K75" s="4" t="n">
        <v>1.71</v>
      </c>
      <c r="L75" s="4" t="n">
        <v>55.7</v>
      </c>
      <c r="M75" s="4" t="n">
        <v>62.6</v>
      </c>
      <c r="N75" s="4" t="s">
        <v>22</v>
      </c>
      <c r="O75" s="5" t="s">
        <v>23</v>
      </c>
    </row>
    <row r="76" customFormat="false" ht="15" hidden="false" customHeight="false" outlineLevel="0" collapsed="false">
      <c r="A76" s="6" t="s">
        <v>116</v>
      </c>
      <c r="B76" s="6" t="s">
        <v>115</v>
      </c>
      <c r="C76" s="6" t="s">
        <v>28</v>
      </c>
      <c r="D76" s="6" t="s">
        <v>26</v>
      </c>
      <c r="E76" s="6" t="s">
        <v>43</v>
      </c>
      <c r="F76" s="6" t="n">
        <v>23.1</v>
      </c>
      <c r="G76" s="6" t="n">
        <v>4.351</v>
      </c>
      <c r="H76" s="6" t="n">
        <v>0.703</v>
      </c>
      <c r="I76" s="6" t="n">
        <v>2878</v>
      </c>
      <c r="J76" s="6" t="n">
        <v>0.835</v>
      </c>
      <c r="K76" s="6" t="n">
        <v>2.09</v>
      </c>
      <c r="L76" s="6" t="n">
        <v>49.8</v>
      </c>
      <c r="M76" s="6" t="n">
        <v>65.7</v>
      </c>
      <c r="N76" s="6" t="s">
        <v>22</v>
      </c>
      <c r="O76" s="7" t="s">
        <v>23</v>
      </c>
    </row>
    <row r="77" customFormat="false" ht="15" hidden="false" customHeight="false" outlineLevel="0" collapsed="false">
      <c r="A77" s="4" t="s">
        <v>117</v>
      </c>
      <c r="B77" s="4" t="s">
        <v>115</v>
      </c>
      <c r="C77" s="4" t="s">
        <v>19</v>
      </c>
      <c r="D77" s="4" t="s">
        <v>29</v>
      </c>
      <c r="E77" s="4" t="s">
        <v>43</v>
      </c>
      <c r="F77" s="4" t="n">
        <v>25.2</v>
      </c>
      <c r="G77" s="4" t="n">
        <v>4.555</v>
      </c>
      <c r="H77" s="4" t="n">
        <v>0.754</v>
      </c>
      <c r="I77" s="4" t="n">
        <v>2749</v>
      </c>
      <c r="J77" s="4" t="n">
        <v>0.81</v>
      </c>
      <c r="K77" s="4" t="n">
        <v>2.26</v>
      </c>
      <c r="L77" s="4" t="n">
        <v>46.7</v>
      </c>
      <c r="M77" s="4" t="n">
        <v>66.4</v>
      </c>
      <c r="N77" s="4" t="s">
        <v>22</v>
      </c>
      <c r="O77" s="5" t="s">
        <v>23</v>
      </c>
    </row>
    <row r="78" customFormat="false" ht="15" hidden="false" customHeight="false" outlineLevel="0" collapsed="false">
      <c r="A78" s="6" t="s">
        <v>118</v>
      </c>
      <c r="B78" s="6" t="s">
        <v>115</v>
      </c>
      <c r="C78" s="6" t="s">
        <v>25</v>
      </c>
      <c r="D78" s="6" t="s">
        <v>31</v>
      </c>
      <c r="E78" s="6" t="s">
        <v>43</v>
      </c>
      <c r="F78" s="6" t="n">
        <v>27.7</v>
      </c>
      <c r="G78" s="6" t="n">
        <v>4.361</v>
      </c>
      <c r="H78" s="6" t="n">
        <v>0.711</v>
      </c>
      <c r="I78" s="6" t="n">
        <v>2816</v>
      </c>
      <c r="J78" s="6" t="n">
        <v>0.812</v>
      </c>
      <c r="K78" s="6" t="n">
        <v>1.19</v>
      </c>
      <c r="L78" s="6" t="n">
        <v>50.2</v>
      </c>
      <c r="M78" s="6" t="n">
        <v>63.8</v>
      </c>
      <c r="N78" s="6" t="s">
        <v>22</v>
      </c>
      <c r="O78" s="7" t="s">
        <v>23</v>
      </c>
    </row>
    <row r="79" customFormat="false" ht="15" hidden="false" customHeight="false" outlineLevel="0" collapsed="false">
      <c r="A79" s="4" t="s">
        <v>119</v>
      </c>
      <c r="B79" s="4" t="s">
        <v>115</v>
      </c>
      <c r="C79" s="4" t="s">
        <v>28</v>
      </c>
      <c r="D79" s="4" t="s">
        <v>33</v>
      </c>
      <c r="E79" s="4" t="s">
        <v>43</v>
      </c>
      <c r="F79" s="4" t="n">
        <v>24.1</v>
      </c>
      <c r="G79" s="4" t="n">
        <v>4.551</v>
      </c>
      <c r="H79" s="4" t="n">
        <v>0.703</v>
      </c>
      <c r="I79" s="4" t="n">
        <v>2761</v>
      </c>
      <c r="J79" s="4" t="n">
        <v>0.887</v>
      </c>
      <c r="K79" s="4" t="n">
        <v>1.75</v>
      </c>
      <c r="L79" s="4" t="n">
        <v>51.8</v>
      </c>
      <c r="M79" s="4" t="n">
        <v>67</v>
      </c>
      <c r="N79" s="4" t="s">
        <v>22</v>
      </c>
      <c r="O79" s="5" t="s">
        <v>23</v>
      </c>
    </row>
    <row r="80" customFormat="false" ht="15" hidden="false" customHeight="false" outlineLevel="0" collapsed="false">
      <c r="A80" s="6" t="s">
        <v>120</v>
      </c>
      <c r="B80" s="6" t="s">
        <v>121</v>
      </c>
      <c r="C80" s="6" t="s">
        <v>19</v>
      </c>
      <c r="D80" s="6" t="s">
        <v>20</v>
      </c>
      <c r="E80" s="6" t="s">
        <v>21</v>
      </c>
      <c r="F80" s="6" t="n">
        <v>24.8</v>
      </c>
      <c r="G80" s="6" t="n">
        <v>4.494</v>
      </c>
      <c r="H80" s="6" t="n">
        <v>0.778</v>
      </c>
      <c r="I80" s="6" t="n">
        <v>2785</v>
      </c>
      <c r="J80" s="6" t="n">
        <v>0.861</v>
      </c>
      <c r="K80" s="6" t="n">
        <v>1.14</v>
      </c>
      <c r="L80" s="6" t="n">
        <v>46.7</v>
      </c>
      <c r="M80" s="6" t="n">
        <v>63.6</v>
      </c>
      <c r="N80" s="6" t="s">
        <v>22</v>
      </c>
      <c r="O80" s="7" t="s">
        <v>23</v>
      </c>
    </row>
    <row r="81" customFormat="false" ht="15" hidden="false" customHeight="false" outlineLevel="0" collapsed="false">
      <c r="A81" s="8" t="s">
        <v>122</v>
      </c>
      <c r="B81" s="8" t="s">
        <v>121</v>
      </c>
      <c r="C81" s="8" t="s">
        <v>25</v>
      </c>
      <c r="D81" s="8" t="s">
        <v>26</v>
      </c>
      <c r="E81" s="8" t="s">
        <v>21</v>
      </c>
      <c r="F81" s="8" t="n">
        <v>25</v>
      </c>
      <c r="G81" s="8" t="n">
        <v>4.58</v>
      </c>
      <c r="H81" s="8" t="n">
        <v>0.69</v>
      </c>
      <c r="I81" s="8" t="n">
        <v>2786</v>
      </c>
      <c r="J81" s="8" t="n">
        <v>0.814</v>
      </c>
      <c r="K81" s="8" t="n">
        <v>3.96</v>
      </c>
      <c r="L81" s="8" t="n">
        <v>45.3</v>
      </c>
      <c r="M81" s="8" t="n">
        <v>75</v>
      </c>
      <c r="N81" s="8" t="s">
        <v>123</v>
      </c>
      <c r="O81" s="9" t="s">
        <v>124</v>
      </c>
    </row>
    <row r="82" customFormat="false" ht="15" hidden="false" customHeight="false" outlineLevel="0" collapsed="false">
      <c r="A82" s="6" t="s">
        <v>125</v>
      </c>
      <c r="B82" s="6" t="s">
        <v>121</v>
      </c>
      <c r="C82" s="6" t="s">
        <v>28</v>
      </c>
      <c r="D82" s="6" t="s">
        <v>29</v>
      </c>
      <c r="E82" s="6" t="s">
        <v>21</v>
      </c>
      <c r="F82" s="6" t="n">
        <v>24.9</v>
      </c>
      <c r="G82" s="6" t="n">
        <v>4.456</v>
      </c>
      <c r="H82" s="6" t="n">
        <v>0.693</v>
      </c>
      <c r="I82" s="6" t="n">
        <v>2747</v>
      </c>
      <c r="J82" s="6" t="n">
        <v>0.828</v>
      </c>
      <c r="K82" s="6" t="n">
        <v>2.76</v>
      </c>
      <c r="L82" s="6" t="n">
        <v>47.9</v>
      </c>
      <c r="M82" s="6" t="n">
        <v>67</v>
      </c>
      <c r="N82" s="6" t="s">
        <v>22</v>
      </c>
      <c r="O82" s="7" t="s">
        <v>23</v>
      </c>
    </row>
    <row r="83" customFormat="false" ht="15" hidden="false" customHeight="false" outlineLevel="0" collapsed="false">
      <c r="A83" s="4" t="s">
        <v>126</v>
      </c>
      <c r="B83" s="4" t="s">
        <v>121</v>
      </c>
      <c r="C83" s="4" t="s">
        <v>19</v>
      </c>
      <c r="D83" s="4" t="s">
        <v>31</v>
      </c>
      <c r="E83" s="4" t="s">
        <v>21</v>
      </c>
      <c r="F83" s="4" t="n">
        <v>24.2</v>
      </c>
      <c r="G83" s="4" t="n">
        <v>4.465</v>
      </c>
      <c r="H83" s="4" t="n">
        <v>0.658</v>
      </c>
      <c r="I83" s="4" t="n">
        <v>2909</v>
      </c>
      <c r="J83" s="4" t="n">
        <v>0.939</v>
      </c>
      <c r="K83" s="4" t="n">
        <v>1.9</v>
      </c>
      <c r="L83" s="4" t="n">
        <v>52.5</v>
      </c>
      <c r="M83" s="4" t="n">
        <v>64</v>
      </c>
      <c r="N83" s="4" t="s">
        <v>22</v>
      </c>
      <c r="O83" s="5" t="s">
        <v>23</v>
      </c>
    </row>
    <row r="84" customFormat="false" ht="15" hidden="false" customHeight="false" outlineLevel="0" collapsed="false">
      <c r="A84" s="8" t="s">
        <v>127</v>
      </c>
      <c r="B84" s="8" t="s">
        <v>121</v>
      </c>
      <c r="C84" s="8" t="s">
        <v>25</v>
      </c>
      <c r="D84" s="8" t="s">
        <v>33</v>
      </c>
      <c r="E84" s="8" t="s">
        <v>21</v>
      </c>
      <c r="F84" s="8" t="n">
        <v>24.5</v>
      </c>
      <c r="G84" s="8" t="n">
        <v>4.495</v>
      </c>
      <c r="H84" s="8" t="n">
        <v>0.75</v>
      </c>
      <c r="I84" s="8" t="n">
        <v>2722</v>
      </c>
      <c r="J84" s="8" t="n">
        <v>0.89</v>
      </c>
      <c r="K84" s="8" t="n">
        <v>3.62</v>
      </c>
      <c r="L84" s="8" t="n">
        <v>43.4</v>
      </c>
      <c r="M84" s="8" t="n">
        <v>71.9</v>
      </c>
      <c r="N84" s="8" t="s">
        <v>128</v>
      </c>
      <c r="O84" s="9" t="s">
        <v>124</v>
      </c>
    </row>
    <row r="85" customFormat="false" ht="15" hidden="false" customHeight="false" outlineLevel="0" collapsed="false">
      <c r="A85" s="4" t="s">
        <v>129</v>
      </c>
      <c r="B85" s="4" t="s">
        <v>130</v>
      </c>
      <c r="C85" s="4" t="s">
        <v>28</v>
      </c>
      <c r="D85" s="4" t="s">
        <v>20</v>
      </c>
      <c r="E85" s="4" t="s">
        <v>36</v>
      </c>
      <c r="F85" s="4" t="n">
        <v>21.6</v>
      </c>
      <c r="G85" s="4" t="n">
        <v>4.503</v>
      </c>
      <c r="H85" s="4" t="n">
        <v>0.723</v>
      </c>
      <c r="I85" s="4" t="n">
        <v>2816</v>
      </c>
      <c r="J85" s="4" t="n">
        <v>0.872</v>
      </c>
      <c r="K85" s="4" t="n">
        <v>3.24</v>
      </c>
      <c r="L85" s="4" t="n">
        <v>51.1</v>
      </c>
      <c r="M85" s="4" t="n">
        <v>62.2</v>
      </c>
      <c r="N85" s="4" t="s">
        <v>22</v>
      </c>
      <c r="O85" s="5" t="s">
        <v>23</v>
      </c>
    </row>
    <row r="86" customFormat="false" ht="15" hidden="false" customHeight="false" outlineLevel="0" collapsed="false">
      <c r="A86" s="6" t="s">
        <v>131</v>
      </c>
      <c r="B86" s="6" t="s">
        <v>130</v>
      </c>
      <c r="C86" s="6" t="s">
        <v>19</v>
      </c>
      <c r="D86" s="6" t="s">
        <v>26</v>
      </c>
      <c r="E86" s="6" t="s">
        <v>36</v>
      </c>
      <c r="F86" s="6" t="n">
        <v>27.3</v>
      </c>
      <c r="G86" s="6" t="n">
        <v>4.459</v>
      </c>
      <c r="H86" s="6" t="n">
        <v>0.689</v>
      </c>
      <c r="I86" s="6" t="n">
        <v>2786</v>
      </c>
      <c r="J86" s="6" t="n">
        <v>0.797</v>
      </c>
      <c r="K86" s="6" t="n">
        <v>1.67</v>
      </c>
      <c r="L86" s="6" t="n">
        <v>47.1</v>
      </c>
      <c r="M86" s="6" t="n">
        <v>65.9</v>
      </c>
      <c r="N86" s="6" t="s">
        <v>22</v>
      </c>
      <c r="O86" s="7" t="s">
        <v>23</v>
      </c>
    </row>
    <row r="87" customFormat="false" ht="15" hidden="false" customHeight="false" outlineLevel="0" collapsed="false">
      <c r="A87" s="8" t="s">
        <v>132</v>
      </c>
      <c r="B87" s="8" t="s">
        <v>130</v>
      </c>
      <c r="C87" s="8" t="s">
        <v>25</v>
      </c>
      <c r="D87" s="8" t="s">
        <v>29</v>
      </c>
      <c r="E87" s="8" t="s">
        <v>36</v>
      </c>
      <c r="F87" s="8" t="n">
        <v>24.4</v>
      </c>
      <c r="G87" s="8" t="n">
        <v>4.509</v>
      </c>
      <c r="H87" s="8" t="n">
        <v>0.72</v>
      </c>
      <c r="I87" s="8" t="n">
        <v>2855</v>
      </c>
      <c r="J87" s="8" t="n">
        <v>0.803</v>
      </c>
      <c r="K87" s="8" t="n">
        <v>4.29</v>
      </c>
      <c r="L87" s="8" t="n">
        <v>45.1</v>
      </c>
      <c r="M87" s="8" t="n">
        <v>74.1</v>
      </c>
      <c r="N87" s="8" t="s">
        <v>123</v>
      </c>
      <c r="O87" s="9" t="s">
        <v>124</v>
      </c>
    </row>
    <row r="88" customFormat="false" ht="15" hidden="false" customHeight="false" outlineLevel="0" collapsed="false">
      <c r="A88" s="6" t="s">
        <v>133</v>
      </c>
      <c r="B88" s="6" t="s">
        <v>130</v>
      </c>
      <c r="C88" s="6" t="s">
        <v>28</v>
      </c>
      <c r="D88" s="6" t="s">
        <v>31</v>
      </c>
      <c r="E88" s="6" t="s">
        <v>36</v>
      </c>
      <c r="F88" s="6" t="n">
        <v>22.2</v>
      </c>
      <c r="G88" s="6" t="n">
        <v>4.671</v>
      </c>
      <c r="H88" s="6" t="n">
        <v>0.716</v>
      </c>
      <c r="I88" s="6" t="n">
        <v>2787</v>
      </c>
      <c r="J88" s="6" t="n">
        <v>0.814</v>
      </c>
      <c r="K88" s="6" t="n">
        <v>2.75</v>
      </c>
      <c r="L88" s="6" t="n">
        <v>47.5</v>
      </c>
      <c r="M88" s="6" t="n">
        <v>64.7</v>
      </c>
      <c r="N88" s="6" t="s">
        <v>22</v>
      </c>
      <c r="O88" s="7" t="s">
        <v>23</v>
      </c>
    </row>
    <row r="89" customFormat="false" ht="15" hidden="false" customHeight="false" outlineLevel="0" collapsed="false">
      <c r="A89" s="4" t="s">
        <v>134</v>
      </c>
      <c r="B89" s="4" t="s">
        <v>130</v>
      </c>
      <c r="C89" s="4" t="s">
        <v>19</v>
      </c>
      <c r="D89" s="4" t="s">
        <v>33</v>
      </c>
      <c r="E89" s="4" t="s">
        <v>36</v>
      </c>
      <c r="F89" s="4" t="n">
        <v>22.1</v>
      </c>
      <c r="G89" s="4" t="n">
        <v>4.577</v>
      </c>
      <c r="H89" s="4" t="n">
        <v>0.733</v>
      </c>
      <c r="I89" s="4" t="n">
        <v>2838</v>
      </c>
      <c r="J89" s="4" t="n">
        <v>0.871</v>
      </c>
      <c r="K89" s="4" t="n">
        <v>1.77</v>
      </c>
      <c r="L89" s="4" t="n">
        <v>53.5</v>
      </c>
      <c r="M89" s="4" t="n">
        <v>60.8</v>
      </c>
      <c r="N89" s="4" t="s">
        <v>22</v>
      </c>
      <c r="O89" s="5" t="s">
        <v>23</v>
      </c>
    </row>
    <row r="90" customFormat="false" ht="15" hidden="false" customHeight="false" outlineLevel="0" collapsed="false">
      <c r="A90" s="8" t="s">
        <v>135</v>
      </c>
      <c r="B90" s="8" t="s">
        <v>136</v>
      </c>
      <c r="C90" s="8" t="s">
        <v>25</v>
      </c>
      <c r="D90" s="8" t="s">
        <v>20</v>
      </c>
      <c r="E90" s="8" t="s">
        <v>43</v>
      </c>
      <c r="F90" s="8" t="n">
        <v>25.2</v>
      </c>
      <c r="G90" s="8" t="n">
        <v>4.478</v>
      </c>
      <c r="H90" s="8" t="n">
        <v>0.745</v>
      </c>
      <c r="I90" s="8" t="n">
        <v>2800</v>
      </c>
      <c r="J90" s="8" t="n">
        <v>0.912</v>
      </c>
      <c r="K90" s="8" t="n">
        <v>3.7</v>
      </c>
      <c r="L90" s="8" t="n">
        <v>55.5</v>
      </c>
      <c r="M90" s="8" t="n">
        <v>74.5</v>
      </c>
      <c r="N90" s="8" t="s">
        <v>123</v>
      </c>
      <c r="O90" s="9" t="s">
        <v>124</v>
      </c>
    </row>
    <row r="91" customFormat="false" ht="15" hidden="false" customHeight="false" outlineLevel="0" collapsed="false">
      <c r="A91" s="4" t="s">
        <v>137</v>
      </c>
      <c r="B91" s="4" t="s">
        <v>136</v>
      </c>
      <c r="C91" s="4" t="s">
        <v>28</v>
      </c>
      <c r="D91" s="4" t="s">
        <v>26</v>
      </c>
      <c r="E91" s="4" t="s">
        <v>43</v>
      </c>
      <c r="F91" s="4" t="n">
        <v>25.7</v>
      </c>
      <c r="G91" s="4" t="n">
        <v>4.39</v>
      </c>
      <c r="H91" s="4" t="n">
        <v>0.769</v>
      </c>
      <c r="I91" s="4" t="n">
        <v>2808</v>
      </c>
      <c r="J91" s="4" t="n">
        <v>0.855</v>
      </c>
      <c r="K91" s="4" t="n">
        <v>2.4</v>
      </c>
      <c r="L91" s="4" t="n">
        <v>50.2</v>
      </c>
      <c r="M91" s="4" t="n">
        <v>64.4</v>
      </c>
      <c r="N91" s="4" t="s">
        <v>22</v>
      </c>
      <c r="O91" s="5" t="s">
        <v>23</v>
      </c>
    </row>
    <row r="92" customFormat="false" ht="15" hidden="false" customHeight="false" outlineLevel="0" collapsed="false">
      <c r="A92" s="6" t="s">
        <v>138</v>
      </c>
      <c r="B92" s="6" t="s">
        <v>136</v>
      </c>
      <c r="C92" s="6" t="s">
        <v>19</v>
      </c>
      <c r="D92" s="6" t="s">
        <v>29</v>
      </c>
      <c r="E92" s="6" t="s">
        <v>43</v>
      </c>
      <c r="F92" s="6" t="n">
        <v>25.1</v>
      </c>
      <c r="G92" s="6" t="n">
        <v>4.436</v>
      </c>
      <c r="H92" s="6" t="n">
        <v>0.732</v>
      </c>
      <c r="I92" s="6" t="n">
        <v>2828</v>
      </c>
      <c r="J92" s="6" t="n">
        <v>0.819</v>
      </c>
      <c r="K92" s="6" t="n">
        <v>2.17</v>
      </c>
      <c r="L92" s="6" t="n">
        <v>43.8</v>
      </c>
      <c r="M92" s="6" t="n">
        <v>67.5</v>
      </c>
      <c r="N92" s="6" t="s">
        <v>22</v>
      </c>
      <c r="O92" s="7" t="s">
        <v>23</v>
      </c>
    </row>
    <row r="93" customFormat="false" ht="15" hidden="false" customHeight="false" outlineLevel="0" collapsed="false">
      <c r="A93" s="8" t="s">
        <v>139</v>
      </c>
      <c r="B93" s="8" t="s">
        <v>136</v>
      </c>
      <c r="C93" s="8" t="s">
        <v>25</v>
      </c>
      <c r="D93" s="8" t="s">
        <v>31</v>
      </c>
      <c r="E93" s="8" t="s">
        <v>43</v>
      </c>
      <c r="F93" s="8" t="n">
        <v>23.9</v>
      </c>
      <c r="G93" s="8" t="n">
        <v>4.438</v>
      </c>
      <c r="H93" s="8" t="n">
        <v>0.664</v>
      </c>
      <c r="I93" s="8" t="n">
        <v>2766</v>
      </c>
      <c r="J93" s="8" t="n">
        <v>0.889</v>
      </c>
      <c r="K93" s="8" t="n">
        <v>3.92</v>
      </c>
      <c r="L93" s="8" t="n">
        <v>46.2</v>
      </c>
      <c r="M93" s="8" t="n">
        <v>73.4</v>
      </c>
      <c r="N93" s="8" t="s">
        <v>123</v>
      </c>
      <c r="O93" s="9" t="s">
        <v>124</v>
      </c>
    </row>
    <row r="94" customFormat="false" ht="15" hidden="false" customHeight="false" outlineLevel="0" collapsed="false">
      <c r="A94" s="6" t="s">
        <v>140</v>
      </c>
      <c r="B94" s="6" t="s">
        <v>136</v>
      </c>
      <c r="C94" s="6" t="s">
        <v>28</v>
      </c>
      <c r="D94" s="6" t="s">
        <v>33</v>
      </c>
      <c r="E94" s="6" t="s">
        <v>43</v>
      </c>
      <c r="F94" s="6" t="n">
        <v>25</v>
      </c>
      <c r="G94" s="6" t="n">
        <v>4.482</v>
      </c>
      <c r="H94" s="6" t="n">
        <v>0.765</v>
      </c>
      <c r="I94" s="6" t="n">
        <v>2857</v>
      </c>
      <c r="J94" s="6" t="n">
        <v>0.919</v>
      </c>
      <c r="K94" s="6" t="n">
        <v>2.04</v>
      </c>
      <c r="L94" s="6" t="n">
        <v>47.4</v>
      </c>
      <c r="M94" s="6" t="n">
        <v>64.3</v>
      </c>
      <c r="N94" s="6" t="s">
        <v>22</v>
      </c>
      <c r="O94" s="7" t="s">
        <v>23</v>
      </c>
    </row>
    <row r="95" customFormat="false" ht="15" hidden="false" customHeight="false" outlineLevel="0" collapsed="false">
      <c r="A95" s="4" t="s">
        <v>141</v>
      </c>
      <c r="B95" s="4" t="s">
        <v>142</v>
      </c>
      <c r="C95" s="4" t="s">
        <v>19</v>
      </c>
      <c r="D95" s="4" t="s">
        <v>20</v>
      </c>
      <c r="E95" s="4" t="s">
        <v>21</v>
      </c>
      <c r="F95" s="4" t="n">
        <v>24.1</v>
      </c>
      <c r="G95" s="4" t="n">
        <v>4.536</v>
      </c>
      <c r="H95" s="4" t="n">
        <v>0.729</v>
      </c>
      <c r="I95" s="4" t="n">
        <v>2876</v>
      </c>
      <c r="J95" s="4" t="n">
        <v>0.852</v>
      </c>
      <c r="K95" s="4" t="n">
        <v>3.29</v>
      </c>
      <c r="L95" s="4" t="n">
        <v>50.2</v>
      </c>
      <c r="M95" s="4" t="n">
        <v>66.8</v>
      </c>
      <c r="N95" s="4" t="s">
        <v>22</v>
      </c>
      <c r="O95" s="5" t="s">
        <v>23</v>
      </c>
    </row>
    <row r="96" customFormat="false" ht="15" hidden="false" customHeight="false" outlineLevel="0" collapsed="false">
      <c r="A96" s="8" t="s">
        <v>143</v>
      </c>
      <c r="B96" s="8" t="s">
        <v>142</v>
      </c>
      <c r="C96" s="8" t="s">
        <v>25</v>
      </c>
      <c r="D96" s="8" t="s">
        <v>26</v>
      </c>
      <c r="E96" s="8" t="s">
        <v>21</v>
      </c>
      <c r="F96" s="8" t="n">
        <v>20.9</v>
      </c>
      <c r="G96" s="8" t="n">
        <v>4.636</v>
      </c>
      <c r="H96" s="8" t="n">
        <v>0.706</v>
      </c>
      <c r="I96" s="8" t="n">
        <v>2830</v>
      </c>
      <c r="J96" s="8" t="n">
        <v>0.847</v>
      </c>
      <c r="K96" s="8" t="n">
        <v>3.63</v>
      </c>
      <c r="L96" s="8" t="n">
        <v>48.4</v>
      </c>
      <c r="M96" s="8" t="n">
        <v>72.6</v>
      </c>
      <c r="N96" s="8" t="s">
        <v>123</v>
      </c>
      <c r="O96" s="9" t="s">
        <v>124</v>
      </c>
    </row>
    <row r="97" customFormat="false" ht="15" hidden="false" customHeight="false" outlineLevel="0" collapsed="false">
      <c r="A97" s="4" t="s">
        <v>144</v>
      </c>
      <c r="B97" s="4" t="s">
        <v>142</v>
      </c>
      <c r="C97" s="4" t="s">
        <v>28</v>
      </c>
      <c r="D97" s="4" t="s">
        <v>29</v>
      </c>
      <c r="E97" s="4" t="s">
        <v>21</v>
      </c>
      <c r="F97" s="4" t="n">
        <v>25.6</v>
      </c>
      <c r="G97" s="4" t="n">
        <v>4.484</v>
      </c>
      <c r="H97" s="4" t="n">
        <v>0.62</v>
      </c>
      <c r="I97" s="4" t="n">
        <v>2795</v>
      </c>
      <c r="J97" s="4" t="n">
        <v>0.778</v>
      </c>
      <c r="K97" s="4" t="n">
        <v>1.08</v>
      </c>
      <c r="L97" s="4" t="n">
        <v>51.1</v>
      </c>
      <c r="M97" s="4" t="n">
        <v>62.3</v>
      </c>
      <c r="N97" s="4" t="s">
        <v>22</v>
      </c>
      <c r="O97" s="5" t="s">
        <v>23</v>
      </c>
    </row>
    <row r="98" customFormat="false" ht="15" hidden="false" customHeight="false" outlineLevel="0" collapsed="false">
      <c r="A98" s="6" t="s">
        <v>145</v>
      </c>
      <c r="B98" s="6" t="s">
        <v>142</v>
      </c>
      <c r="C98" s="6" t="s">
        <v>19</v>
      </c>
      <c r="D98" s="6" t="s">
        <v>31</v>
      </c>
      <c r="E98" s="6" t="s">
        <v>21</v>
      </c>
      <c r="F98" s="6" t="n">
        <v>22.9</v>
      </c>
      <c r="G98" s="6" t="n">
        <v>4.532</v>
      </c>
      <c r="H98" s="6" t="n">
        <v>0.774</v>
      </c>
      <c r="I98" s="6" t="n">
        <v>2781</v>
      </c>
      <c r="J98" s="6" t="n">
        <v>0.882</v>
      </c>
      <c r="K98" s="6" t="n">
        <v>2.51</v>
      </c>
      <c r="L98" s="6" t="n">
        <v>46.2</v>
      </c>
      <c r="M98" s="6" t="n">
        <v>65.6</v>
      </c>
      <c r="N98" s="6" t="s">
        <v>22</v>
      </c>
      <c r="O98" s="7" t="s">
        <v>23</v>
      </c>
    </row>
    <row r="99" customFormat="false" ht="15" hidden="false" customHeight="false" outlineLevel="0" collapsed="false">
      <c r="A99" s="8" t="s">
        <v>146</v>
      </c>
      <c r="B99" s="8" t="s">
        <v>142</v>
      </c>
      <c r="C99" s="8" t="s">
        <v>25</v>
      </c>
      <c r="D99" s="8" t="s">
        <v>33</v>
      </c>
      <c r="E99" s="8" t="s">
        <v>21</v>
      </c>
      <c r="F99" s="8" t="n">
        <v>22.4</v>
      </c>
      <c r="G99" s="8" t="n">
        <v>4.511</v>
      </c>
      <c r="H99" s="8" t="n">
        <v>0.745</v>
      </c>
      <c r="I99" s="8" t="n">
        <v>2877</v>
      </c>
      <c r="J99" s="8" t="n">
        <v>0.796</v>
      </c>
      <c r="K99" s="8" t="n">
        <v>3.84</v>
      </c>
      <c r="L99" s="8" t="n">
        <v>46.9</v>
      </c>
      <c r="M99" s="8" t="n">
        <v>71.3</v>
      </c>
      <c r="N99" s="8" t="s">
        <v>128</v>
      </c>
      <c r="O99" s="9" t="s">
        <v>124</v>
      </c>
    </row>
    <row r="100" customFormat="false" ht="15" hidden="false" customHeight="false" outlineLevel="0" collapsed="false">
      <c r="A100" s="6" t="s">
        <v>147</v>
      </c>
      <c r="B100" s="6" t="s">
        <v>148</v>
      </c>
      <c r="C100" s="6" t="s">
        <v>28</v>
      </c>
      <c r="D100" s="6" t="s">
        <v>20</v>
      </c>
      <c r="E100" s="6" t="s">
        <v>36</v>
      </c>
      <c r="F100" s="6" t="n">
        <v>24.3</v>
      </c>
      <c r="G100" s="6" t="n">
        <v>4.387</v>
      </c>
      <c r="H100" s="6" t="n">
        <v>0.804</v>
      </c>
      <c r="I100" s="6" t="n">
        <v>2774</v>
      </c>
      <c r="J100" s="6" t="n">
        <v>0.83</v>
      </c>
      <c r="K100" s="6" t="n">
        <v>2.16</v>
      </c>
      <c r="L100" s="6" t="n">
        <v>48.2</v>
      </c>
      <c r="M100" s="6" t="n">
        <v>64</v>
      </c>
      <c r="N100" s="6" t="s">
        <v>22</v>
      </c>
      <c r="O100" s="7" t="s">
        <v>23</v>
      </c>
    </row>
    <row r="101" customFormat="false" ht="15" hidden="false" customHeight="false" outlineLevel="0" collapsed="false">
      <c r="A101" s="4" t="s">
        <v>149</v>
      </c>
      <c r="B101" s="4" t="s">
        <v>148</v>
      </c>
      <c r="C101" s="4" t="s">
        <v>19</v>
      </c>
      <c r="D101" s="4" t="s">
        <v>26</v>
      </c>
      <c r="E101" s="4" t="s">
        <v>36</v>
      </c>
      <c r="F101" s="4" t="n">
        <v>25</v>
      </c>
      <c r="G101" s="4" t="n">
        <v>4.444</v>
      </c>
      <c r="H101" s="4" t="n">
        <v>0.745</v>
      </c>
      <c r="I101" s="4" t="n">
        <v>2813</v>
      </c>
      <c r="J101" s="4" t="n">
        <v>0.865</v>
      </c>
      <c r="K101" s="4" t="n">
        <v>1.96</v>
      </c>
      <c r="L101" s="4" t="n">
        <v>46</v>
      </c>
      <c r="M101" s="4" t="n">
        <v>67.8</v>
      </c>
      <c r="N101" s="4" t="s">
        <v>22</v>
      </c>
      <c r="O101" s="5" t="s">
        <v>23</v>
      </c>
    </row>
    <row r="102" customFormat="false" ht="15" hidden="false" customHeight="false" outlineLevel="0" collapsed="false">
      <c r="A102" s="8" t="s">
        <v>150</v>
      </c>
      <c r="B102" s="8" t="s">
        <v>148</v>
      </c>
      <c r="C102" s="8" t="s">
        <v>25</v>
      </c>
      <c r="D102" s="8" t="s">
        <v>29</v>
      </c>
      <c r="E102" s="8" t="s">
        <v>36</v>
      </c>
      <c r="F102" s="8" t="n">
        <v>21.6</v>
      </c>
      <c r="G102" s="8" t="n">
        <v>4.457</v>
      </c>
      <c r="H102" s="8" t="n">
        <v>0.733</v>
      </c>
      <c r="I102" s="8" t="n">
        <v>2780</v>
      </c>
      <c r="J102" s="8" t="n">
        <v>0.828</v>
      </c>
      <c r="K102" s="8" t="n">
        <v>3.66</v>
      </c>
      <c r="L102" s="8" t="n">
        <v>46.3</v>
      </c>
      <c r="M102" s="8" t="n">
        <v>77.3</v>
      </c>
      <c r="N102" s="8" t="s">
        <v>123</v>
      </c>
      <c r="O102" s="9" t="s">
        <v>124</v>
      </c>
    </row>
    <row r="103" customFormat="false" ht="15" hidden="false" customHeight="false" outlineLevel="0" collapsed="false">
      <c r="A103" s="4" t="s">
        <v>151</v>
      </c>
      <c r="B103" s="4" t="s">
        <v>148</v>
      </c>
      <c r="C103" s="4" t="s">
        <v>28</v>
      </c>
      <c r="D103" s="4" t="s">
        <v>31</v>
      </c>
      <c r="E103" s="4" t="s">
        <v>36</v>
      </c>
      <c r="F103" s="4" t="n">
        <v>24</v>
      </c>
      <c r="G103" s="4" t="n">
        <v>4.592</v>
      </c>
      <c r="H103" s="4" t="n">
        <v>0.82</v>
      </c>
      <c r="I103" s="4" t="n">
        <v>2779</v>
      </c>
      <c r="J103" s="4" t="n">
        <v>0.851</v>
      </c>
      <c r="K103" s="4" t="n">
        <v>1.99</v>
      </c>
      <c r="L103" s="4" t="n">
        <v>52.7</v>
      </c>
      <c r="M103" s="4" t="n">
        <v>66.5</v>
      </c>
      <c r="N103" s="4" t="s">
        <v>22</v>
      </c>
      <c r="O103" s="5" t="s">
        <v>23</v>
      </c>
    </row>
    <row r="104" customFormat="false" ht="15" hidden="false" customHeight="false" outlineLevel="0" collapsed="false">
      <c r="A104" s="6" t="s">
        <v>152</v>
      </c>
      <c r="B104" s="6" t="s">
        <v>148</v>
      </c>
      <c r="C104" s="6" t="s">
        <v>19</v>
      </c>
      <c r="D104" s="6" t="s">
        <v>33</v>
      </c>
      <c r="E104" s="6" t="s">
        <v>36</v>
      </c>
      <c r="F104" s="6" t="n">
        <v>24.5</v>
      </c>
      <c r="G104" s="6" t="n">
        <v>4.616</v>
      </c>
      <c r="H104" s="6" t="n">
        <v>0.764</v>
      </c>
      <c r="I104" s="6" t="n">
        <v>2802</v>
      </c>
      <c r="J104" s="6" t="n">
        <v>0.776</v>
      </c>
      <c r="K104" s="6" t="n">
        <v>2.21</v>
      </c>
      <c r="L104" s="6" t="n">
        <v>54.2</v>
      </c>
      <c r="M104" s="6" t="n">
        <v>63.5</v>
      </c>
      <c r="N104" s="6" t="s">
        <v>22</v>
      </c>
      <c r="O104" s="7" t="s">
        <v>23</v>
      </c>
    </row>
    <row r="105" customFormat="false" ht="15" hidden="false" customHeight="false" outlineLevel="0" collapsed="false">
      <c r="A105" s="8" t="s">
        <v>153</v>
      </c>
      <c r="B105" s="8" t="s">
        <v>154</v>
      </c>
      <c r="C105" s="8" t="s">
        <v>25</v>
      </c>
      <c r="D105" s="8" t="s">
        <v>20</v>
      </c>
      <c r="E105" s="8" t="s">
        <v>43</v>
      </c>
      <c r="F105" s="8" t="n">
        <v>24</v>
      </c>
      <c r="G105" s="8" t="n">
        <v>4.519</v>
      </c>
      <c r="H105" s="8" t="n">
        <v>0.697</v>
      </c>
      <c r="I105" s="8" t="n">
        <v>2810</v>
      </c>
      <c r="J105" s="8" t="n">
        <v>0.921</v>
      </c>
      <c r="K105" s="8" t="n">
        <v>3.59</v>
      </c>
      <c r="L105" s="8" t="n">
        <v>47.1</v>
      </c>
      <c r="M105" s="8" t="n">
        <v>75.3</v>
      </c>
      <c r="N105" s="8" t="s">
        <v>123</v>
      </c>
      <c r="O105" s="9" t="s">
        <v>124</v>
      </c>
    </row>
    <row r="106" customFormat="false" ht="15" hidden="false" customHeight="false" outlineLevel="0" collapsed="false">
      <c r="A106" s="6" t="s">
        <v>155</v>
      </c>
      <c r="B106" s="6" t="s">
        <v>154</v>
      </c>
      <c r="C106" s="6" t="s">
        <v>28</v>
      </c>
      <c r="D106" s="6" t="s">
        <v>26</v>
      </c>
      <c r="E106" s="6" t="s">
        <v>43</v>
      </c>
      <c r="F106" s="6" t="n">
        <v>26.3</v>
      </c>
      <c r="G106" s="6" t="n">
        <v>4.343</v>
      </c>
      <c r="H106" s="6" t="n">
        <v>0.705</v>
      </c>
      <c r="I106" s="6" t="n">
        <v>2899</v>
      </c>
      <c r="J106" s="6" t="n">
        <v>0.833</v>
      </c>
      <c r="K106" s="6" t="n">
        <v>2.29</v>
      </c>
      <c r="L106" s="6" t="n">
        <v>45.2</v>
      </c>
      <c r="M106" s="6" t="n">
        <v>65.2</v>
      </c>
      <c r="N106" s="6" t="s">
        <v>22</v>
      </c>
      <c r="O106" s="7" t="s">
        <v>23</v>
      </c>
    </row>
    <row r="107" customFormat="false" ht="15" hidden="false" customHeight="false" outlineLevel="0" collapsed="false">
      <c r="A107" s="4" t="s">
        <v>156</v>
      </c>
      <c r="B107" s="4" t="s">
        <v>154</v>
      </c>
      <c r="C107" s="4" t="s">
        <v>19</v>
      </c>
      <c r="D107" s="4" t="s">
        <v>29</v>
      </c>
      <c r="E107" s="4" t="s">
        <v>43</v>
      </c>
      <c r="F107" s="4" t="n">
        <v>23.3</v>
      </c>
      <c r="G107" s="4" t="n">
        <v>4.636</v>
      </c>
      <c r="H107" s="4" t="n">
        <v>0.716</v>
      </c>
      <c r="I107" s="4" t="n">
        <v>2792</v>
      </c>
      <c r="J107" s="4" t="n">
        <v>0.899</v>
      </c>
      <c r="K107" s="4" t="n">
        <v>2.19</v>
      </c>
      <c r="L107" s="4" t="n">
        <v>48.9</v>
      </c>
      <c r="M107" s="4" t="n">
        <v>66.8</v>
      </c>
      <c r="N107" s="4" t="s">
        <v>22</v>
      </c>
      <c r="O107" s="5" t="s">
        <v>23</v>
      </c>
    </row>
    <row r="108" customFormat="false" ht="15" hidden="false" customHeight="false" outlineLevel="0" collapsed="false">
      <c r="A108" s="8" t="s">
        <v>157</v>
      </c>
      <c r="B108" s="8" t="s">
        <v>154</v>
      </c>
      <c r="C108" s="8" t="s">
        <v>25</v>
      </c>
      <c r="D108" s="8" t="s">
        <v>31</v>
      </c>
      <c r="E108" s="8" t="s">
        <v>43</v>
      </c>
      <c r="F108" s="8" t="n">
        <v>27.4</v>
      </c>
      <c r="G108" s="8" t="n">
        <v>4.401</v>
      </c>
      <c r="H108" s="8" t="n">
        <v>0.698</v>
      </c>
      <c r="I108" s="8" t="n">
        <v>2679</v>
      </c>
      <c r="J108" s="8" t="n">
        <v>0.816</v>
      </c>
      <c r="K108" s="8" t="n">
        <v>2.95</v>
      </c>
      <c r="L108" s="8" t="n">
        <v>48.1</v>
      </c>
      <c r="M108" s="8" t="n">
        <v>75.9</v>
      </c>
      <c r="N108" s="8" t="s">
        <v>158</v>
      </c>
      <c r="O108" s="9" t="s">
        <v>124</v>
      </c>
    </row>
    <row r="109" customFormat="false" ht="15" hidden="false" customHeight="false" outlineLevel="0" collapsed="false">
      <c r="A109" s="4" t="s">
        <v>159</v>
      </c>
      <c r="B109" s="4" t="s">
        <v>154</v>
      </c>
      <c r="C109" s="4" t="s">
        <v>28</v>
      </c>
      <c r="D109" s="4" t="s">
        <v>33</v>
      </c>
      <c r="E109" s="4" t="s">
        <v>43</v>
      </c>
      <c r="F109" s="4" t="n">
        <v>23.1</v>
      </c>
      <c r="G109" s="4" t="n">
        <v>4.568</v>
      </c>
      <c r="H109" s="4" t="n">
        <v>0.716</v>
      </c>
      <c r="I109" s="4" t="n">
        <v>2848</v>
      </c>
      <c r="J109" s="4" t="n">
        <v>0.846</v>
      </c>
      <c r="K109" s="4" t="n">
        <v>1.12</v>
      </c>
      <c r="L109" s="4" t="n">
        <v>46.4</v>
      </c>
      <c r="M109" s="4" t="n">
        <v>67.8</v>
      </c>
      <c r="N109" s="4" t="s">
        <v>22</v>
      </c>
      <c r="O109" s="5" t="s">
        <v>23</v>
      </c>
    </row>
    <row r="110" customFormat="false" ht="15" hidden="false" customHeight="false" outlineLevel="0" collapsed="false">
      <c r="A110" s="6" t="s">
        <v>160</v>
      </c>
      <c r="B110" s="6" t="s">
        <v>161</v>
      </c>
      <c r="C110" s="6" t="s">
        <v>19</v>
      </c>
      <c r="D110" s="6" t="s">
        <v>20</v>
      </c>
      <c r="E110" s="6" t="s">
        <v>21</v>
      </c>
      <c r="F110" s="6" t="n">
        <v>23.1</v>
      </c>
      <c r="G110" s="6" t="n">
        <v>4.456</v>
      </c>
      <c r="H110" s="6" t="n">
        <v>0.688</v>
      </c>
      <c r="I110" s="6" t="n">
        <v>2913</v>
      </c>
      <c r="J110" s="6" t="n">
        <v>0.833</v>
      </c>
      <c r="K110" s="6" t="n">
        <v>2.06</v>
      </c>
      <c r="L110" s="6" t="n">
        <v>48.7</v>
      </c>
      <c r="M110" s="6" t="n">
        <v>62.5</v>
      </c>
      <c r="N110" s="6" t="s">
        <v>22</v>
      </c>
      <c r="O110" s="7" t="s">
        <v>23</v>
      </c>
    </row>
    <row r="111" customFormat="false" ht="15" hidden="false" customHeight="false" outlineLevel="0" collapsed="false">
      <c r="A111" s="8" t="s">
        <v>162</v>
      </c>
      <c r="B111" s="8" t="s">
        <v>161</v>
      </c>
      <c r="C111" s="8" t="s">
        <v>25</v>
      </c>
      <c r="D111" s="8" t="s">
        <v>26</v>
      </c>
      <c r="E111" s="8" t="s">
        <v>21</v>
      </c>
      <c r="F111" s="8" t="n">
        <v>23.7</v>
      </c>
      <c r="G111" s="8" t="n">
        <v>4.456</v>
      </c>
      <c r="H111" s="8" t="n">
        <v>0.693</v>
      </c>
      <c r="I111" s="8" t="n">
        <v>2831</v>
      </c>
      <c r="J111" s="8" t="n">
        <v>0.855</v>
      </c>
      <c r="K111" s="8" t="n">
        <v>4.1</v>
      </c>
      <c r="L111" s="8" t="n">
        <v>44.2</v>
      </c>
      <c r="M111" s="8" t="n">
        <v>75.3</v>
      </c>
      <c r="N111" s="8" t="s">
        <v>123</v>
      </c>
      <c r="O111" s="9" t="s">
        <v>124</v>
      </c>
    </row>
    <row r="112" customFormat="false" ht="15" hidden="false" customHeight="false" outlineLevel="0" collapsed="false">
      <c r="A112" s="6" t="s">
        <v>163</v>
      </c>
      <c r="B112" s="6" t="s">
        <v>161</v>
      </c>
      <c r="C112" s="6" t="s">
        <v>28</v>
      </c>
      <c r="D112" s="6" t="s">
        <v>29</v>
      </c>
      <c r="E112" s="6" t="s">
        <v>21</v>
      </c>
      <c r="F112" s="6" t="n">
        <v>24.5</v>
      </c>
      <c r="G112" s="6" t="n">
        <v>4.405</v>
      </c>
      <c r="H112" s="6" t="n">
        <v>0.723</v>
      </c>
      <c r="I112" s="6" t="n">
        <v>2794</v>
      </c>
      <c r="J112" s="6" t="n">
        <v>0.836</v>
      </c>
      <c r="K112" s="6" t="n">
        <v>2.32</v>
      </c>
      <c r="L112" s="6" t="n">
        <v>53.7</v>
      </c>
      <c r="M112" s="6" t="n">
        <v>65.6</v>
      </c>
      <c r="N112" s="6" t="s">
        <v>22</v>
      </c>
      <c r="O112" s="7" t="s">
        <v>23</v>
      </c>
    </row>
    <row r="113" customFormat="false" ht="15" hidden="false" customHeight="false" outlineLevel="0" collapsed="false">
      <c r="A113" s="4" t="s">
        <v>164</v>
      </c>
      <c r="B113" s="4" t="s">
        <v>161</v>
      </c>
      <c r="C113" s="4" t="s">
        <v>19</v>
      </c>
      <c r="D113" s="4" t="s">
        <v>31</v>
      </c>
      <c r="E113" s="4" t="s">
        <v>21</v>
      </c>
      <c r="F113" s="4" t="n">
        <v>25.3</v>
      </c>
      <c r="G113" s="4" t="n">
        <v>4.685</v>
      </c>
      <c r="H113" s="4" t="n">
        <v>0.648</v>
      </c>
      <c r="I113" s="4" t="n">
        <v>2746</v>
      </c>
      <c r="J113" s="4" t="n">
        <v>0.864</v>
      </c>
      <c r="K113" s="4" t="n">
        <v>2.12</v>
      </c>
      <c r="L113" s="4" t="n">
        <v>50.1</v>
      </c>
      <c r="M113" s="4" t="n">
        <v>71.8</v>
      </c>
      <c r="N113" s="4" t="s">
        <v>22</v>
      </c>
      <c r="O113" s="5" t="s">
        <v>23</v>
      </c>
    </row>
    <row r="114" customFormat="false" ht="15" hidden="false" customHeight="false" outlineLevel="0" collapsed="false">
      <c r="A114" s="8" t="s">
        <v>165</v>
      </c>
      <c r="B114" s="8" t="s">
        <v>161</v>
      </c>
      <c r="C114" s="8" t="s">
        <v>25</v>
      </c>
      <c r="D114" s="8" t="s">
        <v>33</v>
      </c>
      <c r="E114" s="8" t="s">
        <v>21</v>
      </c>
      <c r="F114" s="8" t="n">
        <v>23.5</v>
      </c>
      <c r="G114" s="8" t="n">
        <v>4.507</v>
      </c>
      <c r="H114" s="8" t="n">
        <v>0.711</v>
      </c>
      <c r="I114" s="8" t="n">
        <v>2850</v>
      </c>
      <c r="J114" s="8" t="n">
        <v>0.848</v>
      </c>
      <c r="K114" s="8" t="n">
        <v>4.15</v>
      </c>
      <c r="L114" s="8" t="n">
        <v>50.6</v>
      </c>
      <c r="M114" s="8" t="n">
        <v>74.1</v>
      </c>
      <c r="N114" s="8" t="s">
        <v>123</v>
      </c>
      <c r="O114" s="9" t="s">
        <v>124</v>
      </c>
    </row>
    <row r="115" customFormat="false" ht="15" hidden="false" customHeight="false" outlineLevel="0" collapsed="false">
      <c r="A115" s="4" t="s">
        <v>166</v>
      </c>
      <c r="B115" s="4" t="s">
        <v>167</v>
      </c>
      <c r="C115" s="4" t="s">
        <v>28</v>
      </c>
      <c r="D115" s="4" t="s">
        <v>20</v>
      </c>
      <c r="E115" s="4" t="s">
        <v>36</v>
      </c>
      <c r="F115" s="4" t="n">
        <v>23.3</v>
      </c>
      <c r="G115" s="4" t="n">
        <v>4.52</v>
      </c>
      <c r="H115" s="4" t="n">
        <v>0.661</v>
      </c>
      <c r="I115" s="4" t="n">
        <v>2742</v>
      </c>
      <c r="J115" s="4" t="n">
        <v>0.876</v>
      </c>
      <c r="K115" s="4" t="n">
        <v>2.61</v>
      </c>
      <c r="L115" s="4" t="n">
        <v>45.2</v>
      </c>
      <c r="M115" s="4" t="n">
        <v>65.3</v>
      </c>
      <c r="N115" s="4" t="s">
        <v>22</v>
      </c>
      <c r="O115" s="5" t="s">
        <v>23</v>
      </c>
    </row>
    <row r="116" customFormat="false" ht="15" hidden="false" customHeight="false" outlineLevel="0" collapsed="false">
      <c r="A116" s="6" t="s">
        <v>168</v>
      </c>
      <c r="B116" s="6" t="s">
        <v>167</v>
      </c>
      <c r="C116" s="6" t="s">
        <v>19</v>
      </c>
      <c r="D116" s="6" t="s">
        <v>26</v>
      </c>
      <c r="E116" s="6" t="s">
        <v>36</v>
      </c>
      <c r="F116" s="6" t="n">
        <v>23.4</v>
      </c>
      <c r="G116" s="6" t="n">
        <v>4.536</v>
      </c>
      <c r="H116" s="6" t="n">
        <v>0.637</v>
      </c>
      <c r="I116" s="6" t="n">
        <v>2699</v>
      </c>
      <c r="J116" s="6" t="n">
        <v>0.855</v>
      </c>
      <c r="K116" s="6" t="n">
        <v>1.83</v>
      </c>
      <c r="L116" s="6" t="n">
        <v>49.8</v>
      </c>
      <c r="M116" s="6" t="n">
        <v>63.9</v>
      </c>
      <c r="N116" s="6" t="s">
        <v>22</v>
      </c>
      <c r="O116" s="7" t="s">
        <v>23</v>
      </c>
    </row>
    <row r="117" customFormat="false" ht="15" hidden="false" customHeight="false" outlineLevel="0" collapsed="false">
      <c r="A117" s="8" t="s">
        <v>169</v>
      </c>
      <c r="B117" s="8" t="s">
        <v>167</v>
      </c>
      <c r="C117" s="8" t="s">
        <v>25</v>
      </c>
      <c r="D117" s="8" t="s">
        <v>29</v>
      </c>
      <c r="E117" s="8" t="s">
        <v>36</v>
      </c>
      <c r="F117" s="8" t="n">
        <v>23.3</v>
      </c>
      <c r="G117" s="8" t="n">
        <v>4.752</v>
      </c>
      <c r="H117" s="8" t="n">
        <v>0.751</v>
      </c>
      <c r="I117" s="8" t="n">
        <v>2759</v>
      </c>
      <c r="J117" s="8" t="n">
        <v>0.86</v>
      </c>
      <c r="K117" s="8" t="n">
        <v>4.46</v>
      </c>
      <c r="L117" s="8" t="n">
        <v>47.4</v>
      </c>
      <c r="M117" s="8" t="n">
        <v>70.9</v>
      </c>
      <c r="N117" s="8" t="s">
        <v>128</v>
      </c>
      <c r="O117" s="9" t="s">
        <v>124</v>
      </c>
    </row>
    <row r="118" customFormat="false" ht="15" hidden="false" customHeight="false" outlineLevel="0" collapsed="false">
      <c r="A118" s="6" t="s">
        <v>170</v>
      </c>
      <c r="B118" s="6" t="s">
        <v>167</v>
      </c>
      <c r="C118" s="6" t="s">
        <v>28</v>
      </c>
      <c r="D118" s="6" t="s">
        <v>31</v>
      </c>
      <c r="E118" s="6" t="s">
        <v>36</v>
      </c>
      <c r="F118" s="6" t="n">
        <v>26.8</v>
      </c>
      <c r="G118" s="6" t="n">
        <v>4.311</v>
      </c>
      <c r="H118" s="6" t="n">
        <v>0.726</v>
      </c>
      <c r="I118" s="6" t="n">
        <v>2764</v>
      </c>
      <c r="J118" s="6" t="n">
        <v>0.79</v>
      </c>
      <c r="K118" s="6" t="n">
        <v>1.89</v>
      </c>
      <c r="L118" s="6" t="n">
        <v>57.4</v>
      </c>
      <c r="M118" s="6" t="n">
        <v>68.7</v>
      </c>
      <c r="N118" s="6" t="s">
        <v>22</v>
      </c>
      <c r="O118" s="7" t="s">
        <v>23</v>
      </c>
    </row>
    <row r="119" customFormat="false" ht="15" hidden="false" customHeight="false" outlineLevel="0" collapsed="false">
      <c r="A119" s="4" t="s">
        <v>171</v>
      </c>
      <c r="B119" s="4" t="s">
        <v>167</v>
      </c>
      <c r="C119" s="4" t="s">
        <v>19</v>
      </c>
      <c r="D119" s="4" t="s">
        <v>33</v>
      </c>
      <c r="E119" s="4" t="s">
        <v>36</v>
      </c>
      <c r="F119" s="4" t="n">
        <v>23.6</v>
      </c>
      <c r="G119" s="4" t="n">
        <v>4.692</v>
      </c>
      <c r="H119" s="4" t="n">
        <v>0.737</v>
      </c>
      <c r="I119" s="4" t="n">
        <v>2802</v>
      </c>
      <c r="J119" s="4" t="n">
        <v>0.867</v>
      </c>
      <c r="K119" s="4" t="n">
        <v>2.12</v>
      </c>
      <c r="L119" s="4" t="n">
        <v>48.6</v>
      </c>
      <c r="M119" s="4" t="n">
        <v>66.7</v>
      </c>
      <c r="N119" s="4" t="s">
        <v>22</v>
      </c>
      <c r="O119" s="5" t="s">
        <v>23</v>
      </c>
    </row>
    <row r="120" customFormat="false" ht="15" hidden="false" customHeight="false" outlineLevel="0" collapsed="false">
      <c r="A120" s="8" t="s">
        <v>172</v>
      </c>
      <c r="B120" s="8" t="s">
        <v>173</v>
      </c>
      <c r="C120" s="8" t="s">
        <v>25</v>
      </c>
      <c r="D120" s="8" t="s">
        <v>20</v>
      </c>
      <c r="E120" s="8" t="s">
        <v>43</v>
      </c>
      <c r="F120" s="8" t="n">
        <v>23.4</v>
      </c>
      <c r="G120" s="8" t="n">
        <v>4.278</v>
      </c>
      <c r="H120" s="8" t="n">
        <v>0.742</v>
      </c>
      <c r="I120" s="8" t="n">
        <v>2703</v>
      </c>
      <c r="J120" s="8" t="n">
        <v>0.855</v>
      </c>
      <c r="K120" s="8" t="n">
        <v>3.56</v>
      </c>
      <c r="L120" s="8" t="n">
        <v>48.7</v>
      </c>
      <c r="M120" s="8" t="n">
        <v>73.5</v>
      </c>
      <c r="N120" s="8" t="s">
        <v>123</v>
      </c>
      <c r="O120" s="9" t="s">
        <v>124</v>
      </c>
    </row>
    <row r="121" customFormat="false" ht="15" hidden="false" customHeight="false" outlineLevel="0" collapsed="false">
      <c r="A121" s="4" t="s">
        <v>174</v>
      </c>
      <c r="B121" s="4" t="s">
        <v>173</v>
      </c>
      <c r="C121" s="4" t="s">
        <v>28</v>
      </c>
      <c r="D121" s="4" t="s">
        <v>26</v>
      </c>
      <c r="E121" s="4" t="s">
        <v>43</v>
      </c>
      <c r="F121" s="4" t="n">
        <v>24.4</v>
      </c>
      <c r="G121" s="4" t="n">
        <v>4.56</v>
      </c>
      <c r="H121" s="4" t="n">
        <v>0.632</v>
      </c>
      <c r="I121" s="4" t="n">
        <v>2829</v>
      </c>
      <c r="J121" s="4" t="n">
        <v>0.813</v>
      </c>
      <c r="K121" s="4" t="n">
        <v>2.58</v>
      </c>
      <c r="L121" s="4" t="n">
        <v>45.5</v>
      </c>
      <c r="M121" s="4" t="n">
        <v>65.1</v>
      </c>
      <c r="N121" s="4" t="s">
        <v>22</v>
      </c>
      <c r="O121" s="5" t="s">
        <v>23</v>
      </c>
    </row>
    <row r="122" customFormat="false" ht="15" hidden="false" customHeight="false" outlineLevel="0" collapsed="false">
      <c r="A122" s="6" t="s">
        <v>175</v>
      </c>
      <c r="B122" s="6" t="s">
        <v>173</v>
      </c>
      <c r="C122" s="6" t="s">
        <v>19</v>
      </c>
      <c r="D122" s="6" t="s">
        <v>29</v>
      </c>
      <c r="E122" s="6" t="s">
        <v>43</v>
      </c>
      <c r="F122" s="6" t="n">
        <v>25</v>
      </c>
      <c r="G122" s="6" t="n">
        <v>4.519</v>
      </c>
      <c r="H122" s="6" t="n">
        <v>0.735</v>
      </c>
      <c r="I122" s="6" t="n">
        <v>2863</v>
      </c>
      <c r="J122" s="6" t="n">
        <v>0.827</v>
      </c>
      <c r="K122" s="6" t="n">
        <v>2.63</v>
      </c>
      <c r="L122" s="6" t="n">
        <v>46.9</v>
      </c>
      <c r="M122" s="6" t="n">
        <v>65.3</v>
      </c>
      <c r="N122" s="6" t="s">
        <v>22</v>
      </c>
      <c r="O122" s="7" t="s">
        <v>23</v>
      </c>
    </row>
    <row r="123" customFormat="false" ht="15" hidden="false" customHeight="false" outlineLevel="0" collapsed="false">
      <c r="A123" s="8" t="s">
        <v>176</v>
      </c>
      <c r="B123" s="8" t="s">
        <v>173</v>
      </c>
      <c r="C123" s="8" t="s">
        <v>25</v>
      </c>
      <c r="D123" s="8" t="s">
        <v>31</v>
      </c>
      <c r="E123" s="8" t="s">
        <v>43</v>
      </c>
      <c r="F123" s="8" t="n">
        <v>25</v>
      </c>
      <c r="G123" s="8" t="n">
        <v>4.42</v>
      </c>
      <c r="H123" s="8" t="n">
        <v>0.723</v>
      </c>
      <c r="I123" s="8" t="n">
        <v>2814</v>
      </c>
      <c r="J123" s="8" t="n">
        <v>0.83</v>
      </c>
      <c r="K123" s="8" t="n">
        <v>3.82</v>
      </c>
      <c r="L123" s="8" t="n">
        <v>45.7</v>
      </c>
      <c r="M123" s="8" t="n">
        <v>74</v>
      </c>
      <c r="N123" s="8" t="s">
        <v>123</v>
      </c>
      <c r="O123" s="9" t="s">
        <v>124</v>
      </c>
    </row>
    <row r="124" customFormat="false" ht="15" hidden="false" customHeight="false" outlineLevel="0" collapsed="false">
      <c r="A124" s="6" t="s">
        <v>177</v>
      </c>
      <c r="B124" s="6" t="s">
        <v>173</v>
      </c>
      <c r="C124" s="6" t="s">
        <v>28</v>
      </c>
      <c r="D124" s="6" t="s">
        <v>33</v>
      </c>
      <c r="E124" s="6" t="s">
        <v>43</v>
      </c>
      <c r="F124" s="6" t="n">
        <v>24.8</v>
      </c>
      <c r="G124" s="6" t="n">
        <v>4.593</v>
      </c>
      <c r="H124" s="6" t="n">
        <v>0.798</v>
      </c>
      <c r="I124" s="6" t="n">
        <v>2856</v>
      </c>
      <c r="J124" s="6" t="n">
        <v>0.86</v>
      </c>
      <c r="K124" s="6" t="n">
        <v>1.97</v>
      </c>
      <c r="L124" s="6" t="n">
        <v>54.6</v>
      </c>
      <c r="M124" s="6" t="n">
        <v>66.2</v>
      </c>
      <c r="N124" s="6" t="s">
        <v>22</v>
      </c>
      <c r="O124" s="7" t="s">
        <v>23</v>
      </c>
    </row>
    <row r="125" customFormat="false" ht="15" hidden="false" customHeight="false" outlineLevel="0" collapsed="false">
      <c r="A125" s="4" t="s">
        <v>178</v>
      </c>
      <c r="B125" s="4" t="s">
        <v>179</v>
      </c>
      <c r="C125" s="4" t="s">
        <v>19</v>
      </c>
      <c r="D125" s="4" t="s">
        <v>20</v>
      </c>
      <c r="E125" s="4" t="s">
        <v>21</v>
      </c>
      <c r="F125" s="4" t="n">
        <v>24.2</v>
      </c>
      <c r="G125" s="4" t="n">
        <v>4.377</v>
      </c>
      <c r="H125" s="4" t="n">
        <v>0.701</v>
      </c>
      <c r="I125" s="4" t="n">
        <v>2747</v>
      </c>
      <c r="J125" s="4" t="n">
        <v>0.807</v>
      </c>
      <c r="K125" s="4" t="n">
        <v>1.75</v>
      </c>
      <c r="L125" s="4" t="n">
        <v>38.7</v>
      </c>
      <c r="M125" s="4" t="n">
        <v>65.8</v>
      </c>
      <c r="N125" s="4" t="s">
        <v>22</v>
      </c>
      <c r="O125" s="5" t="s">
        <v>23</v>
      </c>
    </row>
    <row r="126" customFormat="false" ht="15" hidden="false" customHeight="false" outlineLevel="0" collapsed="false">
      <c r="A126" s="8" t="s">
        <v>180</v>
      </c>
      <c r="B126" s="8" t="s">
        <v>179</v>
      </c>
      <c r="C126" s="8" t="s">
        <v>25</v>
      </c>
      <c r="D126" s="8" t="s">
        <v>26</v>
      </c>
      <c r="E126" s="8" t="s">
        <v>21</v>
      </c>
      <c r="F126" s="8" t="n">
        <v>23.2</v>
      </c>
      <c r="G126" s="8" t="n">
        <v>4.494</v>
      </c>
      <c r="H126" s="8" t="n">
        <v>0.734</v>
      </c>
      <c r="I126" s="8" t="n">
        <v>2653</v>
      </c>
      <c r="J126" s="8" t="n">
        <v>0.759</v>
      </c>
      <c r="K126" s="8" t="n">
        <v>3.58</v>
      </c>
      <c r="L126" s="8" t="n">
        <v>42.2</v>
      </c>
      <c r="M126" s="8" t="n">
        <v>74</v>
      </c>
      <c r="N126" s="8" t="s">
        <v>123</v>
      </c>
      <c r="O126" s="9" t="s">
        <v>124</v>
      </c>
    </row>
    <row r="127" customFormat="false" ht="15" hidden="false" customHeight="false" outlineLevel="0" collapsed="false">
      <c r="A127" s="4" t="s">
        <v>181</v>
      </c>
      <c r="B127" s="4" t="s">
        <v>179</v>
      </c>
      <c r="C127" s="4" t="s">
        <v>28</v>
      </c>
      <c r="D127" s="4" t="s">
        <v>29</v>
      </c>
      <c r="E127" s="4" t="s">
        <v>21</v>
      </c>
      <c r="F127" s="4" t="n">
        <v>24.5</v>
      </c>
      <c r="G127" s="4" t="n">
        <v>4.368</v>
      </c>
      <c r="H127" s="4" t="n">
        <v>0.737</v>
      </c>
      <c r="I127" s="4" t="n">
        <v>2819</v>
      </c>
      <c r="J127" s="4" t="n">
        <v>0.889</v>
      </c>
      <c r="K127" s="4" t="n">
        <v>1.68</v>
      </c>
      <c r="L127" s="4" t="n">
        <v>50.3</v>
      </c>
      <c r="M127" s="4" t="n">
        <v>66.7</v>
      </c>
      <c r="N127" s="4" t="s">
        <v>22</v>
      </c>
      <c r="O127" s="5" t="s">
        <v>23</v>
      </c>
    </row>
    <row r="128" customFormat="false" ht="15" hidden="false" customHeight="false" outlineLevel="0" collapsed="false">
      <c r="A128" s="6" t="s">
        <v>182</v>
      </c>
      <c r="B128" s="6" t="s">
        <v>179</v>
      </c>
      <c r="C128" s="6" t="s">
        <v>19</v>
      </c>
      <c r="D128" s="6" t="s">
        <v>31</v>
      </c>
      <c r="E128" s="6" t="s">
        <v>21</v>
      </c>
      <c r="F128" s="6" t="n">
        <v>24.5</v>
      </c>
      <c r="G128" s="6" t="n">
        <v>4.463</v>
      </c>
      <c r="H128" s="6" t="n">
        <v>0.662</v>
      </c>
      <c r="I128" s="6" t="n">
        <v>2752</v>
      </c>
      <c r="J128" s="6" t="n">
        <v>0.848</v>
      </c>
      <c r="K128" s="6" t="n">
        <v>2.17</v>
      </c>
      <c r="L128" s="6" t="n">
        <v>51.4</v>
      </c>
      <c r="M128" s="6" t="n">
        <v>63.8</v>
      </c>
      <c r="N128" s="6" t="s">
        <v>22</v>
      </c>
      <c r="O128" s="7" t="s">
        <v>23</v>
      </c>
    </row>
    <row r="129" customFormat="false" ht="15" hidden="false" customHeight="false" outlineLevel="0" collapsed="false">
      <c r="A129" s="8" t="s">
        <v>183</v>
      </c>
      <c r="B129" s="8" t="s">
        <v>179</v>
      </c>
      <c r="C129" s="8" t="s">
        <v>25</v>
      </c>
      <c r="D129" s="8" t="s">
        <v>33</v>
      </c>
      <c r="E129" s="8" t="s">
        <v>21</v>
      </c>
      <c r="F129" s="8" t="n">
        <v>25.5</v>
      </c>
      <c r="G129" s="8" t="n">
        <v>4.406</v>
      </c>
      <c r="H129" s="8" t="n">
        <v>0.744</v>
      </c>
      <c r="I129" s="8" t="n">
        <v>2816</v>
      </c>
      <c r="J129" s="8" t="n">
        <v>0.82</v>
      </c>
      <c r="K129" s="8" t="n">
        <v>3.78</v>
      </c>
      <c r="L129" s="8" t="n">
        <v>49.5</v>
      </c>
      <c r="M129" s="8" t="n">
        <v>74.8</v>
      </c>
      <c r="N129" s="8" t="s">
        <v>123</v>
      </c>
      <c r="O129" s="9" t="s">
        <v>124</v>
      </c>
    </row>
    <row r="130" customFormat="false" ht="15" hidden="false" customHeight="false" outlineLevel="0" collapsed="false">
      <c r="A130" s="6" t="s">
        <v>184</v>
      </c>
      <c r="B130" s="6" t="s">
        <v>185</v>
      </c>
      <c r="C130" s="6" t="s">
        <v>28</v>
      </c>
      <c r="D130" s="6" t="s">
        <v>20</v>
      </c>
      <c r="E130" s="6" t="s">
        <v>36</v>
      </c>
      <c r="F130" s="6" t="n">
        <v>24.3</v>
      </c>
      <c r="G130" s="6" t="n">
        <v>4.409</v>
      </c>
      <c r="H130" s="6" t="n">
        <v>0.78</v>
      </c>
      <c r="I130" s="6" t="n">
        <v>2689</v>
      </c>
      <c r="J130" s="6" t="n">
        <v>0.817</v>
      </c>
      <c r="K130" s="6" t="n">
        <v>2.6</v>
      </c>
      <c r="L130" s="6" t="n">
        <v>50.7</v>
      </c>
      <c r="M130" s="6" t="n">
        <v>66.4</v>
      </c>
      <c r="N130" s="6" t="s">
        <v>22</v>
      </c>
      <c r="O130" s="7" t="s">
        <v>23</v>
      </c>
    </row>
    <row r="131" customFormat="false" ht="15" hidden="false" customHeight="false" outlineLevel="0" collapsed="false">
      <c r="A131" s="4" t="s">
        <v>186</v>
      </c>
      <c r="B131" s="4" t="s">
        <v>185</v>
      </c>
      <c r="C131" s="4" t="s">
        <v>19</v>
      </c>
      <c r="D131" s="4" t="s">
        <v>26</v>
      </c>
      <c r="E131" s="4" t="s">
        <v>36</v>
      </c>
      <c r="F131" s="4" t="n">
        <v>24.3</v>
      </c>
      <c r="G131" s="4" t="n">
        <v>4.617</v>
      </c>
      <c r="H131" s="4" t="n">
        <v>0.778</v>
      </c>
      <c r="I131" s="4" t="n">
        <v>2859</v>
      </c>
      <c r="J131" s="4" t="n">
        <v>0.843</v>
      </c>
      <c r="K131" s="4" t="n">
        <v>1.9</v>
      </c>
      <c r="L131" s="4" t="n">
        <v>50.7</v>
      </c>
      <c r="M131" s="4" t="n">
        <v>65.7</v>
      </c>
      <c r="N131" s="4" t="s">
        <v>22</v>
      </c>
      <c r="O131" s="5" t="s">
        <v>23</v>
      </c>
    </row>
    <row r="132" customFormat="false" ht="15" hidden="false" customHeight="false" outlineLevel="0" collapsed="false">
      <c r="A132" s="8" t="s">
        <v>187</v>
      </c>
      <c r="B132" s="8" t="s">
        <v>185</v>
      </c>
      <c r="C132" s="8" t="s">
        <v>25</v>
      </c>
      <c r="D132" s="8" t="s">
        <v>29</v>
      </c>
      <c r="E132" s="8" t="s">
        <v>36</v>
      </c>
      <c r="F132" s="8" t="n">
        <v>27</v>
      </c>
      <c r="G132" s="8" t="n">
        <v>4.426</v>
      </c>
      <c r="H132" s="8" t="n">
        <v>0.732</v>
      </c>
      <c r="I132" s="8" t="n">
        <v>2875</v>
      </c>
      <c r="J132" s="8" t="n">
        <v>0.85</v>
      </c>
      <c r="K132" s="8" t="n">
        <v>3.31</v>
      </c>
      <c r="L132" s="8" t="n">
        <v>54.7</v>
      </c>
      <c r="M132" s="8" t="n">
        <v>73.3</v>
      </c>
      <c r="N132" s="8" t="s">
        <v>158</v>
      </c>
      <c r="O132" s="9" t="s">
        <v>124</v>
      </c>
    </row>
    <row r="133" customFormat="false" ht="15" hidden="false" customHeight="false" outlineLevel="0" collapsed="false">
      <c r="A133" s="4" t="s">
        <v>188</v>
      </c>
      <c r="B133" s="4" t="s">
        <v>185</v>
      </c>
      <c r="C133" s="4" t="s">
        <v>28</v>
      </c>
      <c r="D133" s="4" t="s">
        <v>31</v>
      </c>
      <c r="E133" s="4" t="s">
        <v>36</v>
      </c>
      <c r="F133" s="4" t="n">
        <v>27.5</v>
      </c>
      <c r="G133" s="4" t="n">
        <v>4.521</v>
      </c>
      <c r="H133" s="4" t="n">
        <v>0.721</v>
      </c>
      <c r="I133" s="4" t="n">
        <v>2723</v>
      </c>
      <c r="J133" s="4" t="n">
        <v>0.848</v>
      </c>
      <c r="K133" s="4" t="n">
        <v>2.27</v>
      </c>
      <c r="L133" s="4" t="n">
        <v>50.7</v>
      </c>
      <c r="M133" s="4" t="n">
        <v>64.2</v>
      </c>
      <c r="N133" s="4" t="s">
        <v>22</v>
      </c>
      <c r="O133" s="5" t="s">
        <v>23</v>
      </c>
    </row>
    <row r="134" customFormat="false" ht="15" hidden="false" customHeight="false" outlineLevel="0" collapsed="false">
      <c r="A134" s="6" t="s">
        <v>189</v>
      </c>
      <c r="B134" s="6" t="s">
        <v>185</v>
      </c>
      <c r="C134" s="6" t="s">
        <v>19</v>
      </c>
      <c r="D134" s="6" t="s">
        <v>33</v>
      </c>
      <c r="E134" s="6" t="s">
        <v>36</v>
      </c>
      <c r="F134" s="6" t="n">
        <v>23.1</v>
      </c>
      <c r="G134" s="6" t="n">
        <v>4.472</v>
      </c>
      <c r="H134" s="6" t="n">
        <v>0.704</v>
      </c>
      <c r="I134" s="6" t="n">
        <v>2823</v>
      </c>
      <c r="J134" s="6" t="n">
        <v>0.897</v>
      </c>
      <c r="K134" s="6" t="n">
        <v>2.17</v>
      </c>
      <c r="L134" s="6" t="n">
        <v>48.5</v>
      </c>
      <c r="M134" s="6" t="n">
        <v>63.3</v>
      </c>
      <c r="N134" s="6" t="s">
        <v>22</v>
      </c>
      <c r="O134" s="7" t="s">
        <v>23</v>
      </c>
    </row>
    <row r="135" customFormat="false" ht="15" hidden="false" customHeight="false" outlineLevel="0" collapsed="false">
      <c r="A135" s="8" t="s">
        <v>190</v>
      </c>
      <c r="B135" s="8" t="s">
        <v>191</v>
      </c>
      <c r="C135" s="8" t="s">
        <v>25</v>
      </c>
      <c r="D135" s="8" t="s">
        <v>20</v>
      </c>
      <c r="E135" s="8" t="s">
        <v>43</v>
      </c>
      <c r="F135" s="8" t="n">
        <v>22</v>
      </c>
      <c r="G135" s="8" t="n">
        <v>4.56</v>
      </c>
      <c r="H135" s="8" t="n">
        <v>0.758</v>
      </c>
      <c r="I135" s="8" t="n">
        <v>2781</v>
      </c>
      <c r="J135" s="8" t="n">
        <v>0.808</v>
      </c>
      <c r="K135" s="8" t="n">
        <v>3.56</v>
      </c>
      <c r="L135" s="8" t="n">
        <v>48</v>
      </c>
      <c r="M135" s="8" t="n">
        <v>73.8</v>
      </c>
      <c r="N135" s="8" t="s">
        <v>123</v>
      </c>
      <c r="O135" s="9" t="s">
        <v>124</v>
      </c>
    </row>
    <row r="136" customFormat="false" ht="15" hidden="false" customHeight="false" outlineLevel="0" collapsed="false">
      <c r="A136" s="6" t="s">
        <v>192</v>
      </c>
      <c r="B136" s="6" t="s">
        <v>191</v>
      </c>
      <c r="C136" s="6" t="s">
        <v>28</v>
      </c>
      <c r="D136" s="6" t="s">
        <v>26</v>
      </c>
      <c r="E136" s="6" t="s">
        <v>43</v>
      </c>
      <c r="F136" s="6" t="n">
        <v>25.7</v>
      </c>
      <c r="G136" s="6" t="n">
        <v>4.566</v>
      </c>
      <c r="H136" s="6" t="n">
        <v>0.687</v>
      </c>
      <c r="I136" s="6" t="n">
        <v>2772</v>
      </c>
      <c r="J136" s="6" t="n">
        <v>0.84</v>
      </c>
      <c r="K136" s="6" t="n">
        <v>2.25</v>
      </c>
      <c r="L136" s="6" t="n">
        <v>43.5</v>
      </c>
      <c r="M136" s="6" t="n">
        <v>64.7</v>
      </c>
      <c r="N136" s="6" t="s">
        <v>22</v>
      </c>
      <c r="O136" s="7" t="s">
        <v>23</v>
      </c>
    </row>
    <row r="137" customFormat="false" ht="15" hidden="false" customHeight="false" outlineLevel="0" collapsed="false">
      <c r="A137" s="4" t="s">
        <v>193</v>
      </c>
      <c r="B137" s="4" t="s">
        <v>191</v>
      </c>
      <c r="C137" s="4" t="s">
        <v>19</v>
      </c>
      <c r="D137" s="4" t="s">
        <v>29</v>
      </c>
      <c r="E137" s="4" t="s">
        <v>43</v>
      </c>
      <c r="F137" s="4" t="n">
        <v>24.7</v>
      </c>
      <c r="G137" s="4" t="n">
        <v>4.54</v>
      </c>
      <c r="H137" s="4" t="n">
        <v>0.721</v>
      </c>
      <c r="I137" s="4" t="n">
        <v>2845</v>
      </c>
      <c r="J137" s="4" t="n">
        <v>0.784</v>
      </c>
      <c r="K137" s="4" t="n">
        <v>1.83</v>
      </c>
      <c r="L137" s="4" t="n">
        <v>45.5</v>
      </c>
      <c r="M137" s="4" t="n">
        <v>62.8</v>
      </c>
      <c r="N137" s="4" t="s">
        <v>22</v>
      </c>
      <c r="O137" s="5" t="s">
        <v>23</v>
      </c>
    </row>
    <row r="138" customFormat="false" ht="15" hidden="false" customHeight="false" outlineLevel="0" collapsed="false">
      <c r="A138" s="8" t="s">
        <v>194</v>
      </c>
      <c r="B138" s="8" t="s">
        <v>191</v>
      </c>
      <c r="C138" s="8" t="s">
        <v>25</v>
      </c>
      <c r="D138" s="8" t="s">
        <v>31</v>
      </c>
      <c r="E138" s="8" t="s">
        <v>43</v>
      </c>
      <c r="F138" s="8" t="n">
        <v>23.5</v>
      </c>
      <c r="G138" s="8" t="n">
        <v>4.592</v>
      </c>
      <c r="H138" s="8" t="n">
        <v>0.683</v>
      </c>
      <c r="I138" s="8" t="n">
        <v>2708</v>
      </c>
      <c r="J138" s="8" t="n">
        <v>0.905</v>
      </c>
      <c r="K138" s="8" t="n">
        <v>3.47</v>
      </c>
      <c r="L138" s="8" t="n">
        <v>52.2</v>
      </c>
      <c r="M138" s="8" t="n">
        <v>75.2</v>
      </c>
      <c r="N138" s="8" t="s">
        <v>158</v>
      </c>
      <c r="O138" s="9" t="s">
        <v>124</v>
      </c>
    </row>
    <row r="139" customFormat="false" ht="15" hidden="false" customHeight="false" outlineLevel="0" collapsed="false">
      <c r="A139" s="4" t="s">
        <v>195</v>
      </c>
      <c r="B139" s="4" t="s">
        <v>191</v>
      </c>
      <c r="C139" s="4" t="s">
        <v>28</v>
      </c>
      <c r="D139" s="4" t="s">
        <v>33</v>
      </c>
      <c r="E139" s="4" t="s">
        <v>43</v>
      </c>
      <c r="F139" s="4" t="n">
        <v>24.8</v>
      </c>
      <c r="G139" s="4" t="n">
        <v>4.532</v>
      </c>
      <c r="H139" s="4" t="n">
        <v>0.668</v>
      </c>
      <c r="I139" s="4" t="n">
        <v>2830</v>
      </c>
      <c r="J139" s="4" t="n">
        <v>0.861</v>
      </c>
      <c r="K139" s="4" t="n">
        <v>2.51</v>
      </c>
      <c r="L139" s="4" t="n">
        <v>49.6</v>
      </c>
      <c r="M139" s="4" t="n">
        <v>65.7</v>
      </c>
      <c r="N139" s="4" t="s">
        <v>22</v>
      </c>
      <c r="O139" s="5" t="s">
        <v>23</v>
      </c>
    </row>
    <row r="140" customFormat="false" ht="15" hidden="false" customHeight="false" outlineLevel="0" collapsed="false">
      <c r="A140" s="6" t="s">
        <v>196</v>
      </c>
      <c r="B140" s="6" t="s">
        <v>197</v>
      </c>
      <c r="C140" s="6" t="s">
        <v>19</v>
      </c>
      <c r="D140" s="6" t="s">
        <v>20</v>
      </c>
      <c r="E140" s="6" t="s">
        <v>21</v>
      </c>
      <c r="F140" s="6" t="n">
        <v>26.2</v>
      </c>
      <c r="G140" s="6" t="n">
        <v>4.38</v>
      </c>
      <c r="H140" s="6" t="n">
        <v>0.725</v>
      </c>
      <c r="I140" s="6" t="n">
        <v>2770</v>
      </c>
      <c r="J140" s="6" t="n">
        <v>0.893</v>
      </c>
      <c r="K140" s="6" t="n">
        <v>1.29</v>
      </c>
      <c r="L140" s="6" t="n">
        <v>49.1</v>
      </c>
      <c r="M140" s="6" t="n">
        <v>67.4</v>
      </c>
      <c r="N140" s="6" t="s">
        <v>22</v>
      </c>
      <c r="O140" s="7" t="s">
        <v>23</v>
      </c>
    </row>
    <row r="141" customFormat="false" ht="15" hidden="false" customHeight="false" outlineLevel="0" collapsed="false">
      <c r="A141" s="4" t="s">
        <v>198</v>
      </c>
      <c r="B141" s="4" t="s">
        <v>197</v>
      </c>
      <c r="C141" s="4" t="s">
        <v>25</v>
      </c>
      <c r="D141" s="4" t="s">
        <v>26</v>
      </c>
      <c r="E141" s="4" t="s">
        <v>21</v>
      </c>
      <c r="F141" s="4" t="n">
        <v>23.7</v>
      </c>
      <c r="G141" s="4" t="n">
        <v>4.564</v>
      </c>
      <c r="H141" s="4" t="n">
        <v>0.66</v>
      </c>
      <c r="I141" s="4" t="n">
        <v>2767</v>
      </c>
      <c r="J141" s="4" t="n">
        <v>0.777</v>
      </c>
      <c r="K141" s="4" t="n">
        <v>3.36</v>
      </c>
      <c r="L141" s="4" t="n">
        <v>44.5</v>
      </c>
      <c r="M141" s="4" t="n">
        <v>71.4</v>
      </c>
      <c r="N141" s="4" t="s">
        <v>22</v>
      </c>
      <c r="O141" s="5" t="s">
        <v>23</v>
      </c>
    </row>
    <row r="142" customFormat="false" ht="15" hidden="false" customHeight="false" outlineLevel="0" collapsed="false">
      <c r="A142" s="6" t="s">
        <v>199</v>
      </c>
      <c r="B142" s="6" t="s">
        <v>197</v>
      </c>
      <c r="C142" s="6" t="s">
        <v>28</v>
      </c>
      <c r="D142" s="6" t="s">
        <v>29</v>
      </c>
      <c r="E142" s="6" t="s">
        <v>21</v>
      </c>
      <c r="F142" s="6" t="n">
        <v>21.7</v>
      </c>
      <c r="G142" s="6" t="n">
        <v>4.552</v>
      </c>
      <c r="H142" s="6" t="n">
        <v>0.748</v>
      </c>
      <c r="I142" s="6" t="n">
        <v>2848</v>
      </c>
      <c r="J142" s="6" t="n">
        <v>0.849</v>
      </c>
      <c r="K142" s="6" t="n">
        <v>2.49</v>
      </c>
      <c r="L142" s="6" t="n">
        <v>49</v>
      </c>
      <c r="M142" s="6" t="n">
        <v>65.4</v>
      </c>
      <c r="N142" s="6" t="s">
        <v>22</v>
      </c>
      <c r="O142" s="7" t="s">
        <v>23</v>
      </c>
    </row>
    <row r="143" customFormat="false" ht="15" hidden="false" customHeight="false" outlineLevel="0" collapsed="false">
      <c r="A143" s="4" t="s">
        <v>200</v>
      </c>
      <c r="B143" s="4" t="s">
        <v>197</v>
      </c>
      <c r="C143" s="4" t="s">
        <v>19</v>
      </c>
      <c r="D143" s="4" t="s">
        <v>31</v>
      </c>
      <c r="E143" s="4" t="s">
        <v>21</v>
      </c>
      <c r="F143" s="4" t="n">
        <v>23</v>
      </c>
      <c r="G143" s="4" t="n">
        <v>4.494</v>
      </c>
      <c r="H143" s="4" t="n">
        <v>0.671</v>
      </c>
      <c r="I143" s="4" t="n">
        <v>2792</v>
      </c>
      <c r="J143" s="4" t="n">
        <v>0.773</v>
      </c>
      <c r="K143" s="4" t="n">
        <v>2.39</v>
      </c>
      <c r="L143" s="4" t="n">
        <v>47</v>
      </c>
      <c r="M143" s="4" t="n">
        <v>63.1</v>
      </c>
      <c r="N143" s="4" t="s">
        <v>22</v>
      </c>
      <c r="O143" s="5" t="s">
        <v>23</v>
      </c>
    </row>
    <row r="144" customFormat="false" ht="15" hidden="false" customHeight="false" outlineLevel="0" collapsed="false">
      <c r="A144" s="8" t="s">
        <v>201</v>
      </c>
      <c r="B144" s="8" t="s">
        <v>197</v>
      </c>
      <c r="C144" s="8" t="s">
        <v>25</v>
      </c>
      <c r="D144" s="8" t="s">
        <v>33</v>
      </c>
      <c r="E144" s="8" t="s">
        <v>21</v>
      </c>
      <c r="F144" s="8" t="n">
        <v>25.5</v>
      </c>
      <c r="G144" s="8" t="n">
        <v>4.458</v>
      </c>
      <c r="H144" s="8" t="n">
        <v>0.747</v>
      </c>
      <c r="I144" s="8" t="n">
        <v>2757</v>
      </c>
      <c r="J144" s="8" t="n">
        <v>0.878</v>
      </c>
      <c r="K144" s="8" t="n">
        <v>3.83</v>
      </c>
      <c r="L144" s="8" t="n">
        <v>53.1</v>
      </c>
      <c r="M144" s="8" t="n">
        <v>74</v>
      </c>
      <c r="N144" s="8" t="s">
        <v>123</v>
      </c>
      <c r="O144" s="9" t="s">
        <v>124</v>
      </c>
    </row>
    <row r="145" customFormat="false" ht="15" hidden="false" customHeight="false" outlineLevel="0" collapsed="false">
      <c r="A145" s="4" t="s">
        <v>202</v>
      </c>
      <c r="B145" s="4" t="s">
        <v>203</v>
      </c>
      <c r="C145" s="4" t="s">
        <v>28</v>
      </c>
      <c r="D145" s="4" t="s">
        <v>20</v>
      </c>
      <c r="E145" s="4" t="s">
        <v>36</v>
      </c>
      <c r="F145" s="4" t="n">
        <v>25</v>
      </c>
      <c r="G145" s="4" t="n">
        <v>4.627</v>
      </c>
      <c r="H145" s="4" t="n">
        <v>0.698</v>
      </c>
      <c r="I145" s="4" t="n">
        <v>2874</v>
      </c>
      <c r="J145" s="4" t="n">
        <v>0.899</v>
      </c>
      <c r="K145" s="4" t="n">
        <v>1.78</v>
      </c>
      <c r="L145" s="4" t="n">
        <v>43.6</v>
      </c>
      <c r="M145" s="4" t="n">
        <v>65.1</v>
      </c>
      <c r="N145" s="4" t="s">
        <v>22</v>
      </c>
      <c r="O145" s="5" t="s">
        <v>23</v>
      </c>
    </row>
    <row r="146" customFormat="false" ht="15" hidden="false" customHeight="false" outlineLevel="0" collapsed="false">
      <c r="A146" s="6" t="s">
        <v>204</v>
      </c>
      <c r="B146" s="6" t="s">
        <v>203</v>
      </c>
      <c r="C146" s="6" t="s">
        <v>19</v>
      </c>
      <c r="D146" s="6" t="s">
        <v>26</v>
      </c>
      <c r="E146" s="6" t="s">
        <v>36</v>
      </c>
      <c r="F146" s="6" t="n">
        <v>22.5</v>
      </c>
      <c r="G146" s="6" t="n">
        <v>4.45</v>
      </c>
      <c r="H146" s="6" t="n">
        <v>0.721</v>
      </c>
      <c r="I146" s="6" t="n">
        <v>2743</v>
      </c>
      <c r="J146" s="6" t="n">
        <v>0.79</v>
      </c>
      <c r="K146" s="6" t="n">
        <v>2.51</v>
      </c>
      <c r="L146" s="6" t="n">
        <v>47.5</v>
      </c>
      <c r="M146" s="6" t="n">
        <v>66</v>
      </c>
      <c r="N146" s="6" t="s">
        <v>22</v>
      </c>
      <c r="O146" s="7" t="s">
        <v>23</v>
      </c>
    </row>
    <row r="147" customFormat="false" ht="15" hidden="false" customHeight="false" outlineLevel="0" collapsed="false">
      <c r="A147" s="8" t="s">
        <v>205</v>
      </c>
      <c r="B147" s="8" t="s">
        <v>203</v>
      </c>
      <c r="C147" s="8" t="s">
        <v>25</v>
      </c>
      <c r="D147" s="8" t="s">
        <v>29</v>
      </c>
      <c r="E147" s="8" t="s">
        <v>36</v>
      </c>
      <c r="F147" s="8" t="n">
        <v>23.5</v>
      </c>
      <c r="G147" s="8" t="n">
        <v>4.581</v>
      </c>
      <c r="H147" s="8" t="n">
        <v>0.717</v>
      </c>
      <c r="I147" s="8" t="n">
        <v>2828</v>
      </c>
      <c r="J147" s="8" t="n">
        <v>0.806</v>
      </c>
      <c r="K147" s="8" t="n">
        <v>3.88</v>
      </c>
      <c r="L147" s="8" t="n">
        <v>45.5</v>
      </c>
      <c r="M147" s="8" t="n">
        <v>72.6</v>
      </c>
      <c r="N147" s="8" t="s">
        <v>123</v>
      </c>
      <c r="O147" s="9" t="s">
        <v>124</v>
      </c>
    </row>
    <row r="148" customFormat="false" ht="15" hidden="false" customHeight="false" outlineLevel="0" collapsed="false">
      <c r="A148" s="6" t="s">
        <v>206</v>
      </c>
      <c r="B148" s="6" t="s">
        <v>203</v>
      </c>
      <c r="C148" s="6" t="s">
        <v>28</v>
      </c>
      <c r="D148" s="6" t="s">
        <v>31</v>
      </c>
      <c r="E148" s="6" t="s">
        <v>36</v>
      </c>
      <c r="F148" s="6" t="n">
        <v>24.6</v>
      </c>
      <c r="G148" s="6" t="n">
        <v>4.34</v>
      </c>
      <c r="H148" s="6" t="n">
        <v>0.729</v>
      </c>
      <c r="I148" s="6" t="n">
        <v>2795</v>
      </c>
      <c r="J148" s="6" t="n">
        <v>0.897</v>
      </c>
      <c r="K148" s="6" t="n">
        <v>1.16</v>
      </c>
      <c r="L148" s="6" t="n">
        <v>47.7</v>
      </c>
      <c r="M148" s="6" t="n">
        <v>63.6</v>
      </c>
      <c r="N148" s="6" t="s">
        <v>22</v>
      </c>
      <c r="O148" s="7" t="s">
        <v>23</v>
      </c>
    </row>
    <row r="149" customFormat="false" ht="15" hidden="false" customHeight="false" outlineLevel="0" collapsed="false">
      <c r="A149" s="4" t="s">
        <v>207</v>
      </c>
      <c r="B149" s="4" t="s">
        <v>203</v>
      </c>
      <c r="C149" s="4" t="s">
        <v>19</v>
      </c>
      <c r="D149" s="4" t="s">
        <v>33</v>
      </c>
      <c r="E149" s="4" t="s">
        <v>36</v>
      </c>
      <c r="F149" s="4" t="n">
        <v>25.1</v>
      </c>
      <c r="G149" s="4" t="n">
        <v>4.452</v>
      </c>
      <c r="H149" s="4" t="n">
        <v>0.739</v>
      </c>
      <c r="I149" s="4" t="n">
        <v>2745</v>
      </c>
      <c r="J149" s="4" t="n">
        <v>0.889</v>
      </c>
      <c r="K149" s="4" t="n">
        <v>1.58</v>
      </c>
      <c r="L149" s="4" t="n">
        <v>48.3</v>
      </c>
      <c r="M149" s="4" t="n">
        <v>64.8</v>
      </c>
      <c r="N149" s="4" t="s">
        <v>22</v>
      </c>
      <c r="O149" s="5" t="s">
        <v>23</v>
      </c>
    </row>
    <row r="150" customFormat="false" ht="15" hidden="false" customHeight="false" outlineLevel="0" collapsed="false">
      <c r="A150" s="8" t="s">
        <v>208</v>
      </c>
      <c r="B150" s="8" t="s">
        <v>209</v>
      </c>
      <c r="C150" s="8" t="s">
        <v>25</v>
      </c>
      <c r="D150" s="8" t="s">
        <v>20</v>
      </c>
      <c r="E150" s="8" t="s">
        <v>43</v>
      </c>
      <c r="F150" s="8" t="n">
        <v>23.5</v>
      </c>
      <c r="G150" s="8" t="n">
        <v>4.638</v>
      </c>
      <c r="H150" s="8" t="n">
        <v>0.708</v>
      </c>
      <c r="I150" s="8" t="n">
        <v>2832</v>
      </c>
      <c r="J150" s="8" t="n">
        <v>0.844</v>
      </c>
      <c r="K150" s="8" t="n">
        <v>4.25</v>
      </c>
      <c r="L150" s="8" t="n">
        <v>45.3</v>
      </c>
      <c r="M150" s="8" t="n">
        <v>71.2</v>
      </c>
      <c r="N150" s="8" t="s">
        <v>128</v>
      </c>
      <c r="O150" s="9" t="s">
        <v>124</v>
      </c>
    </row>
    <row r="151" customFormat="false" ht="15" hidden="false" customHeight="false" outlineLevel="0" collapsed="false">
      <c r="A151" s="4" t="s">
        <v>210</v>
      </c>
      <c r="B151" s="4" t="s">
        <v>209</v>
      </c>
      <c r="C151" s="4" t="s">
        <v>28</v>
      </c>
      <c r="D151" s="4" t="s">
        <v>26</v>
      </c>
      <c r="E151" s="4" t="s">
        <v>43</v>
      </c>
      <c r="F151" s="4" t="n">
        <v>26</v>
      </c>
      <c r="G151" s="4" t="n">
        <v>4.529</v>
      </c>
      <c r="H151" s="4" t="n">
        <v>0.762</v>
      </c>
      <c r="I151" s="4" t="n">
        <v>2835</v>
      </c>
      <c r="J151" s="4" t="n">
        <v>0.863</v>
      </c>
      <c r="K151" s="4" t="n">
        <v>2.72</v>
      </c>
      <c r="L151" s="4" t="n">
        <v>48.3</v>
      </c>
      <c r="M151" s="4" t="n">
        <v>65</v>
      </c>
      <c r="N151" s="4" t="s">
        <v>22</v>
      </c>
      <c r="O151" s="5" t="s">
        <v>23</v>
      </c>
    </row>
    <row r="152" customFormat="false" ht="15" hidden="false" customHeight="false" outlineLevel="0" collapsed="false">
      <c r="A152" s="8" t="s">
        <v>211</v>
      </c>
      <c r="B152" s="8" t="s">
        <v>209</v>
      </c>
      <c r="C152" s="8" t="s">
        <v>19</v>
      </c>
      <c r="D152" s="8" t="s">
        <v>29</v>
      </c>
      <c r="E152" s="8" t="s">
        <v>43</v>
      </c>
      <c r="F152" s="8" t="n">
        <v>22.4</v>
      </c>
      <c r="G152" s="8" t="n">
        <v>4.5</v>
      </c>
      <c r="H152" s="8" t="n">
        <v>0.7</v>
      </c>
      <c r="I152" s="8" t="n">
        <v>2685</v>
      </c>
      <c r="J152" s="8" t="n">
        <v>0.956</v>
      </c>
      <c r="K152" s="8" t="n">
        <v>2.09</v>
      </c>
      <c r="L152" s="8" t="n">
        <v>49.5</v>
      </c>
      <c r="M152" s="8" t="n">
        <v>68.3</v>
      </c>
      <c r="N152" s="8" t="s">
        <v>212</v>
      </c>
      <c r="O152" s="9" t="s">
        <v>124</v>
      </c>
    </row>
    <row r="153" customFormat="false" ht="15" hidden="false" customHeight="false" outlineLevel="0" collapsed="false">
      <c r="A153" s="8" t="s">
        <v>213</v>
      </c>
      <c r="B153" s="8" t="s">
        <v>209</v>
      </c>
      <c r="C153" s="8" t="s">
        <v>25</v>
      </c>
      <c r="D153" s="8" t="s">
        <v>31</v>
      </c>
      <c r="E153" s="8" t="s">
        <v>43</v>
      </c>
      <c r="F153" s="8" t="n">
        <v>21.9</v>
      </c>
      <c r="G153" s="8" t="n">
        <v>4.615</v>
      </c>
      <c r="H153" s="8" t="n">
        <v>0.718</v>
      </c>
      <c r="I153" s="8" t="n">
        <v>2923</v>
      </c>
      <c r="J153" s="8" t="n">
        <v>0.865</v>
      </c>
      <c r="K153" s="8" t="n">
        <v>3.97</v>
      </c>
      <c r="L153" s="8" t="n">
        <v>51.2</v>
      </c>
      <c r="M153" s="8" t="n">
        <v>73.9</v>
      </c>
      <c r="N153" s="8" t="s">
        <v>123</v>
      </c>
      <c r="O153" s="9" t="s">
        <v>124</v>
      </c>
    </row>
    <row r="154" customFormat="false" ht="15" hidden="false" customHeight="false" outlineLevel="0" collapsed="false">
      <c r="A154" s="6" t="s">
        <v>214</v>
      </c>
      <c r="B154" s="6" t="s">
        <v>209</v>
      </c>
      <c r="C154" s="6" t="s">
        <v>28</v>
      </c>
      <c r="D154" s="6" t="s">
        <v>33</v>
      </c>
      <c r="E154" s="6" t="s">
        <v>43</v>
      </c>
      <c r="F154" s="6" t="n">
        <v>24.5</v>
      </c>
      <c r="G154" s="6" t="n">
        <v>4.408</v>
      </c>
      <c r="H154" s="6" t="n">
        <v>0.648</v>
      </c>
      <c r="I154" s="6" t="n">
        <v>2756</v>
      </c>
      <c r="J154" s="6" t="n">
        <v>0.889</v>
      </c>
      <c r="K154" s="6" t="n">
        <v>2.37</v>
      </c>
      <c r="L154" s="6" t="n">
        <v>43.8</v>
      </c>
      <c r="M154" s="6" t="n">
        <v>63.9</v>
      </c>
      <c r="N154" s="6" t="s">
        <v>22</v>
      </c>
      <c r="O154" s="7" t="s">
        <v>23</v>
      </c>
    </row>
    <row r="155" customFormat="false" ht="15" hidden="false" customHeight="false" outlineLevel="0" collapsed="false">
      <c r="A155" s="4" t="s">
        <v>215</v>
      </c>
      <c r="B155" s="4" t="s">
        <v>216</v>
      </c>
      <c r="C155" s="4" t="s">
        <v>19</v>
      </c>
      <c r="D155" s="4" t="s">
        <v>20</v>
      </c>
      <c r="E155" s="4" t="s">
        <v>21</v>
      </c>
      <c r="F155" s="4" t="n">
        <v>28.6</v>
      </c>
      <c r="G155" s="4" t="n">
        <v>4.531</v>
      </c>
      <c r="H155" s="4" t="n">
        <v>0.707</v>
      </c>
      <c r="I155" s="4" t="n">
        <v>2617</v>
      </c>
      <c r="J155" s="4" t="n">
        <v>0.866</v>
      </c>
      <c r="K155" s="4" t="n">
        <v>1.94</v>
      </c>
      <c r="L155" s="4" t="n">
        <v>56.6</v>
      </c>
      <c r="M155" s="4" t="n">
        <v>66.6</v>
      </c>
      <c r="N155" s="4" t="s">
        <v>22</v>
      </c>
      <c r="O155" s="5" t="s">
        <v>23</v>
      </c>
    </row>
    <row r="156" customFormat="false" ht="15" hidden="false" customHeight="false" outlineLevel="0" collapsed="false">
      <c r="A156" s="8" t="s">
        <v>217</v>
      </c>
      <c r="B156" s="8" t="s">
        <v>216</v>
      </c>
      <c r="C156" s="8" t="s">
        <v>25</v>
      </c>
      <c r="D156" s="8" t="s">
        <v>26</v>
      </c>
      <c r="E156" s="8" t="s">
        <v>21</v>
      </c>
      <c r="F156" s="8" t="n">
        <v>26</v>
      </c>
      <c r="G156" s="8" t="n">
        <v>4.59</v>
      </c>
      <c r="H156" s="8" t="n">
        <v>0.759</v>
      </c>
      <c r="I156" s="8" t="n">
        <v>2534</v>
      </c>
      <c r="J156" s="8" t="n">
        <v>0.738</v>
      </c>
      <c r="K156" s="8" t="n">
        <v>1.24</v>
      </c>
      <c r="L156" s="8" t="n">
        <v>48</v>
      </c>
      <c r="M156" s="8" t="n">
        <v>67.3</v>
      </c>
      <c r="N156" s="8" t="s">
        <v>218</v>
      </c>
      <c r="O156" s="9" t="s">
        <v>124</v>
      </c>
    </row>
    <row r="157" customFormat="false" ht="15" hidden="false" customHeight="false" outlineLevel="0" collapsed="false">
      <c r="A157" s="4" t="s">
        <v>219</v>
      </c>
      <c r="B157" s="4" t="s">
        <v>216</v>
      </c>
      <c r="C157" s="4" t="s">
        <v>28</v>
      </c>
      <c r="D157" s="4" t="s">
        <v>29</v>
      </c>
      <c r="E157" s="4" t="s">
        <v>21</v>
      </c>
      <c r="F157" s="4" t="n">
        <v>29.2</v>
      </c>
      <c r="G157" s="4" t="n">
        <v>4.554</v>
      </c>
      <c r="H157" s="4" t="n">
        <v>0.764</v>
      </c>
      <c r="I157" s="4" t="n">
        <v>2798</v>
      </c>
      <c r="J157" s="4" t="n">
        <v>0.768</v>
      </c>
      <c r="K157" s="4" t="n">
        <v>1.26</v>
      </c>
      <c r="L157" s="4" t="n">
        <v>51.9</v>
      </c>
      <c r="M157" s="4" t="n">
        <v>63.1</v>
      </c>
      <c r="N157" s="4" t="s">
        <v>22</v>
      </c>
      <c r="O157" s="5" t="s">
        <v>23</v>
      </c>
    </row>
    <row r="158" customFormat="false" ht="15" hidden="false" customHeight="false" outlineLevel="0" collapsed="false">
      <c r="A158" s="6" t="s">
        <v>220</v>
      </c>
      <c r="B158" s="6" t="s">
        <v>216</v>
      </c>
      <c r="C158" s="6" t="s">
        <v>19</v>
      </c>
      <c r="D158" s="6" t="s">
        <v>31</v>
      </c>
      <c r="E158" s="6" t="s">
        <v>21</v>
      </c>
      <c r="F158" s="6" t="n">
        <v>25</v>
      </c>
      <c r="G158" s="6" t="n">
        <v>4.708</v>
      </c>
      <c r="H158" s="6" t="n">
        <v>0.737</v>
      </c>
      <c r="I158" s="6" t="n">
        <v>2621</v>
      </c>
      <c r="J158" s="6" t="n">
        <v>0.837</v>
      </c>
      <c r="K158" s="6" t="n">
        <v>2.14</v>
      </c>
      <c r="L158" s="6" t="n">
        <v>57.8</v>
      </c>
      <c r="M158" s="6" t="n">
        <v>64.4</v>
      </c>
      <c r="N158" s="6" t="s">
        <v>22</v>
      </c>
      <c r="O158" s="7" t="s">
        <v>23</v>
      </c>
    </row>
    <row r="159" customFormat="false" ht="15" hidden="false" customHeight="false" outlineLevel="0" collapsed="false">
      <c r="A159" s="4" t="s">
        <v>221</v>
      </c>
      <c r="B159" s="4" t="s">
        <v>216</v>
      </c>
      <c r="C159" s="4" t="s">
        <v>25</v>
      </c>
      <c r="D159" s="4" t="s">
        <v>33</v>
      </c>
      <c r="E159" s="4" t="s">
        <v>21</v>
      </c>
      <c r="F159" s="4" t="n">
        <v>25.5</v>
      </c>
      <c r="G159" s="4" t="n">
        <v>4.429</v>
      </c>
      <c r="H159" s="4" t="n">
        <v>0.757</v>
      </c>
      <c r="I159" s="4" t="n">
        <v>2708</v>
      </c>
      <c r="J159" s="4" t="n">
        <v>0.815</v>
      </c>
      <c r="K159" s="4" t="n">
        <v>1.68</v>
      </c>
      <c r="L159" s="4" t="n">
        <v>54.8</v>
      </c>
      <c r="M159" s="4" t="n">
        <v>65.6</v>
      </c>
      <c r="N159" s="4" t="s">
        <v>22</v>
      </c>
      <c r="O159" s="5" t="s">
        <v>23</v>
      </c>
    </row>
    <row r="160" customFormat="false" ht="15" hidden="false" customHeight="false" outlineLevel="0" collapsed="false">
      <c r="A160" s="8" t="s">
        <v>222</v>
      </c>
      <c r="B160" s="8" t="s">
        <v>223</v>
      </c>
      <c r="C160" s="8" t="s">
        <v>28</v>
      </c>
      <c r="D160" s="8" t="s">
        <v>20</v>
      </c>
      <c r="E160" s="8" t="s">
        <v>21</v>
      </c>
      <c r="F160" s="8" t="n">
        <v>29.7</v>
      </c>
      <c r="G160" s="8" t="n">
        <v>4.467</v>
      </c>
      <c r="H160" s="8" t="n">
        <v>0.698</v>
      </c>
      <c r="I160" s="8" t="n">
        <v>2735</v>
      </c>
      <c r="J160" s="8" t="n">
        <v>0.807</v>
      </c>
      <c r="K160" s="8" t="n">
        <v>1.65</v>
      </c>
      <c r="L160" s="8" t="n">
        <v>60.4</v>
      </c>
      <c r="M160" s="8" t="n">
        <v>65.9</v>
      </c>
      <c r="N160" s="8" t="s">
        <v>224</v>
      </c>
      <c r="O160" s="9" t="s">
        <v>124</v>
      </c>
    </row>
    <row r="161" customFormat="false" ht="15" hidden="false" customHeight="false" outlineLevel="0" collapsed="false">
      <c r="A161" s="8" t="s">
        <v>225</v>
      </c>
      <c r="B161" s="8" t="s">
        <v>223</v>
      </c>
      <c r="C161" s="8" t="s">
        <v>19</v>
      </c>
      <c r="D161" s="8" t="s">
        <v>26</v>
      </c>
      <c r="E161" s="8" t="s">
        <v>21</v>
      </c>
      <c r="F161" s="8" t="n">
        <v>25.2</v>
      </c>
      <c r="G161" s="8" t="n">
        <v>4.438</v>
      </c>
      <c r="H161" s="8" t="n">
        <v>0.742</v>
      </c>
      <c r="I161" s="8" t="n">
        <v>2756</v>
      </c>
      <c r="J161" s="8" t="n">
        <v>0.714</v>
      </c>
      <c r="K161" s="8" t="n">
        <v>1.83</v>
      </c>
      <c r="L161" s="8" t="n">
        <v>53</v>
      </c>
      <c r="M161" s="8" t="n">
        <v>67.3</v>
      </c>
      <c r="N161" s="8" t="s">
        <v>212</v>
      </c>
      <c r="O161" s="9" t="s">
        <v>124</v>
      </c>
    </row>
    <row r="162" customFormat="false" ht="15" hidden="false" customHeight="false" outlineLevel="0" collapsed="false">
      <c r="A162" s="6" t="s">
        <v>226</v>
      </c>
      <c r="B162" s="6" t="s">
        <v>223</v>
      </c>
      <c r="C162" s="6" t="s">
        <v>25</v>
      </c>
      <c r="D162" s="6" t="s">
        <v>29</v>
      </c>
      <c r="E162" s="6" t="s">
        <v>21</v>
      </c>
      <c r="F162" s="6" t="n">
        <v>25.3</v>
      </c>
      <c r="G162" s="6" t="n">
        <v>4.402</v>
      </c>
      <c r="H162" s="6" t="n">
        <v>0.726</v>
      </c>
      <c r="I162" s="6" t="n">
        <v>2669</v>
      </c>
      <c r="J162" s="6" t="n">
        <v>0.799</v>
      </c>
      <c r="K162" s="6" t="n">
        <v>1.67</v>
      </c>
      <c r="L162" s="6" t="n">
        <v>53.9</v>
      </c>
      <c r="M162" s="6" t="n">
        <v>63.7</v>
      </c>
      <c r="N162" s="6" t="s">
        <v>22</v>
      </c>
      <c r="O162" s="7" t="s">
        <v>23</v>
      </c>
    </row>
    <row r="163" customFormat="false" ht="15" hidden="false" customHeight="false" outlineLevel="0" collapsed="false">
      <c r="A163" s="4" t="s">
        <v>227</v>
      </c>
      <c r="B163" s="4" t="s">
        <v>223</v>
      </c>
      <c r="C163" s="4" t="s">
        <v>28</v>
      </c>
      <c r="D163" s="4" t="s">
        <v>31</v>
      </c>
      <c r="E163" s="4" t="s">
        <v>21</v>
      </c>
      <c r="F163" s="4" t="n">
        <v>24.5</v>
      </c>
      <c r="G163" s="4" t="n">
        <v>4.412</v>
      </c>
      <c r="H163" s="4" t="n">
        <v>0.688</v>
      </c>
      <c r="I163" s="4" t="n">
        <v>2708</v>
      </c>
      <c r="J163" s="4" t="n">
        <v>0.786</v>
      </c>
      <c r="K163" s="4" t="n">
        <v>2.35</v>
      </c>
      <c r="L163" s="4" t="n">
        <v>59.6</v>
      </c>
      <c r="M163" s="4" t="n">
        <v>63.7</v>
      </c>
      <c r="N163" s="4" t="s">
        <v>22</v>
      </c>
      <c r="O163" s="5" t="s">
        <v>23</v>
      </c>
    </row>
    <row r="164" customFormat="false" ht="15" hidden="false" customHeight="false" outlineLevel="0" collapsed="false">
      <c r="A164" s="6" t="s">
        <v>228</v>
      </c>
      <c r="B164" s="6" t="s">
        <v>223</v>
      </c>
      <c r="C164" s="6" t="s">
        <v>19</v>
      </c>
      <c r="D164" s="6" t="s">
        <v>33</v>
      </c>
      <c r="E164" s="6" t="s">
        <v>21</v>
      </c>
      <c r="F164" s="6" t="n">
        <v>27.1</v>
      </c>
      <c r="G164" s="6" t="n">
        <v>4.497</v>
      </c>
      <c r="H164" s="6" t="n">
        <v>0.689</v>
      </c>
      <c r="I164" s="6" t="n">
        <v>2611</v>
      </c>
      <c r="J164" s="6" t="n">
        <v>0.759</v>
      </c>
      <c r="K164" s="6" t="n">
        <v>2.16</v>
      </c>
      <c r="L164" s="6" t="n">
        <v>54.6</v>
      </c>
      <c r="M164" s="6" t="n">
        <v>64.7</v>
      </c>
      <c r="N164" s="6" t="s">
        <v>22</v>
      </c>
      <c r="O164" s="7" t="s">
        <v>23</v>
      </c>
    </row>
    <row r="165" customFormat="false" ht="15" hidden="false" customHeight="false" outlineLevel="0" collapsed="false">
      <c r="A165" s="8" t="s">
        <v>229</v>
      </c>
      <c r="B165" s="8" t="s">
        <v>230</v>
      </c>
      <c r="C165" s="8" t="s">
        <v>25</v>
      </c>
      <c r="D165" s="8" t="s">
        <v>20</v>
      </c>
      <c r="E165" s="8" t="s">
        <v>21</v>
      </c>
      <c r="F165" s="8" t="n">
        <v>27.4</v>
      </c>
      <c r="G165" s="8" t="n">
        <v>4.524</v>
      </c>
      <c r="H165" s="8" t="n">
        <v>0.678</v>
      </c>
      <c r="I165" s="8" t="n">
        <v>2812</v>
      </c>
      <c r="J165" s="8" t="n">
        <v>0.698</v>
      </c>
      <c r="K165" s="8" t="n">
        <v>2.47</v>
      </c>
      <c r="L165" s="8" t="n">
        <v>58.7</v>
      </c>
      <c r="M165" s="8" t="n">
        <v>66.3</v>
      </c>
      <c r="N165" s="8" t="s">
        <v>212</v>
      </c>
      <c r="O165" s="9" t="s">
        <v>124</v>
      </c>
    </row>
    <row r="166" customFormat="false" ht="15" hidden="false" customHeight="false" outlineLevel="0" collapsed="false">
      <c r="A166" s="8" t="s">
        <v>231</v>
      </c>
      <c r="B166" s="8" t="s">
        <v>230</v>
      </c>
      <c r="C166" s="8" t="s">
        <v>28</v>
      </c>
      <c r="D166" s="8" t="s">
        <v>26</v>
      </c>
      <c r="E166" s="8" t="s">
        <v>21</v>
      </c>
      <c r="F166" s="8" t="n">
        <v>28.2</v>
      </c>
      <c r="G166" s="8" t="n">
        <v>4.48</v>
      </c>
      <c r="H166" s="8" t="n">
        <v>0.664</v>
      </c>
      <c r="I166" s="8" t="n">
        <v>2585</v>
      </c>
      <c r="J166" s="8" t="n">
        <v>0.775</v>
      </c>
      <c r="K166" s="8" t="n">
        <v>1.9</v>
      </c>
      <c r="L166" s="8" t="n">
        <v>54.3</v>
      </c>
      <c r="M166" s="8" t="n">
        <v>63.6</v>
      </c>
      <c r="N166" s="8" t="s">
        <v>232</v>
      </c>
      <c r="O166" s="9" t="s">
        <v>124</v>
      </c>
    </row>
    <row r="167" customFormat="false" ht="15" hidden="false" customHeight="false" outlineLevel="0" collapsed="false">
      <c r="A167" s="8" t="s">
        <v>233</v>
      </c>
      <c r="B167" s="8" t="s">
        <v>230</v>
      </c>
      <c r="C167" s="8" t="s">
        <v>19</v>
      </c>
      <c r="D167" s="8" t="s">
        <v>29</v>
      </c>
      <c r="E167" s="8" t="s">
        <v>21</v>
      </c>
      <c r="F167" s="8" t="n">
        <v>25.5</v>
      </c>
      <c r="G167" s="8" t="n">
        <v>4.59</v>
      </c>
      <c r="H167" s="8" t="n">
        <v>0.725</v>
      </c>
      <c r="I167" s="8" t="n">
        <v>2591</v>
      </c>
      <c r="J167" s="8" t="n">
        <v>0.786</v>
      </c>
      <c r="K167" s="8" t="n">
        <v>1.66</v>
      </c>
      <c r="L167" s="8" t="n">
        <v>45.7</v>
      </c>
      <c r="M167" s="8" t="n">
        <v>62.9</v>
      </c>
      <c r="N167" s="8" t="s">
        <v>232</v>
      </c>
      <c r="O167" s="9" t="s">
        <v>124</v>
      </c>
    </row>
    <row r="168" customFormat="false" ht="15" hidden="false" customHeight="false" outlineLevel="0" collapsed="false">
      <c r="A168" s="8" t="s">
        <v>234</v>
      </c>
      <c r="B168" s="8" t="s">
        <v>230</v>
      </c>
      <c r="C168" s="8" t="s">
        <v>25</v>
      </c>
      <c r="D168" s="8" t="s">
        <v>31</v>
      </c>
      <c r="E168" s="8" t="s">
        <v>21</v>
      </c>
      <c r="F168" s="8" t="n">
        <v>30.4</v>
      </c>
      <c r="G168" s="8" t="n">
        <v>4.652</v>
      </c>
      <c r="H168" s="8" t="n">
        <v>0.737</v>
      </c>
      <c r="I168" s="8" t="n">
        <v>2650</v>
      </c>
      <c r="J168" s="8" t="n">
        <v>0.697</v>
      </c>
      <c r="K168" s="8" t="n">
        <v>1.6</v>
      </c>
      <c r="L168" s="8" t="n">
        <v>50.1</v>
      </c>
      <c r="M168" s="8" t="n">
        <v>67.6</v>
      </c>
      <c r="N168" s="8" t="s">
        <v>212</v>
      </c>
      <c r="O168" s="9" t="s">
        <v>124</v>
      </c>
    </row>
    <row r="169" customFormat="false" ht="15" hidden="false" customHeight="false" outlineLevel="0" collapsed="false">
      <c r="A169" s="4" t="s">
        <v>235</v>
      </c>
      <c r="B169" s="4" t="s">
        <v>230</v>
      </c>
      <c r="C169" s="4" t="s">
        <v>28</v>
      </c>
      <c r="D169" s="4" t="s">
        <v>33</v>
      </c>
      <c r="E169" s="4" t="s">
        <v>21</v>
      </c>
      <c r="F169" s="4" t="n">
        <v>27.9</v>
      </c>
      <c r="G169" s="4" t="n">
        <v>4.614</v>
      </c>
      <c r="H169" s="4" t="n">
        <v>0.793</v>
      </c>
      <c r="I169" s="4" t="n">
        <v>2620</v>
      </c>
      <c r="J169" s="4" t="n">
        <v>0.75</v>
      </c>
      <c r="K169" s="4" t="n">
        <v>1.64</v>
      </c>
      <c r="L169" s="4" t="n">
        <v>54.9</v>
      </c>
      <c r="M169" s="4" t="n">
        <v>62.5</v>
      </c>
      <c r="N169" s="4" t="s">
        <v>22</v>
      </c>
      <c r="O169" s="5" t="s">
        <v>23</v>
      </c>
    </row>
    <row r="170" customFormat="false" ht="15" hidden="false" customHeight="false" outlineLevel="0" collapsed="false">
      <c r="A170" s="6" t="s">
        <v>236</v>
      </c>
      <c r="B170" s="6" t="s">
        <v>237</v>
      </c>
      <c r="C170" s="6" t="s">
        <v>19</v>
      </c>
      <c r="D170" s="6" t="s">
        <v>20</v>
      </c>
      <c r="E170" s="6" t="s">
        <v>21</v>
      </c>
      <c r="F170" s="6" t="n">
        <v>28.3</v>
      </c>
      <c r="G170" s="6" t="n">
        <v>4.572</v>
      </c>
      <c r="H170" s="6" t="n">
        <v>0.683</v>
      </c>
      <c r="I170" s="6" t="n">
        <v>2675</v>
      </c>
      <c r="J170" s="6" t="n">
        <v>0.767</v>
      </c>
      <c r="K170" s="6" t="n">
        <v>1.63</v>
      </c>
      <c r="L170" s="6" t="n">
        <v>53.6</v>
      </c>
      <c r="M170" s="6" t="n">
        <v>60.2</v>
      </c>
      <c r="N170" s="6" t="s">
        <v>22</v>
      </c>
      <c r="O170" s="7" t="s">
        <v>23</v>
      </c>
    </row>
    <row r="171" customFormat="false" ht="15" hidden="false" customHeight="false" outlineLevel="0" collapsed="false">
      <c r="A171" s="8" t="s">
        <v>238</v>
      </c>
      <c r="B171" s="8" t="s">
        <v>237</v>
      </c>
      <c r="C171" s="8" t="s">
        <v>25</v>
      </c>
      <c r="D171" s="8" t="s">
        <v>26</v>
      </c>
      <c r="E171" s="8" t="s">
        <v>21</v>
      </c>
      <c r="F171" s="8" t="n">
        <v>25.3</v>
      </c>
      <c r="G171" s="8" t="n">
        <v>4.428</v>
      </c>
      <c r="H171" s="8" t="n">
        <v>0.713</v>
      </c>
      <c r="I171" s="8" t="n">
        <v>2527</v>
      </c>
      <c r="J171" s="8" t="n">
        <v>0.705</v>
      </c>
      <c r="K171" s="8" t="n">
        <v>1.79</v>
      </c>
      <c r="L171" s="8" t="n">
        <v>48.7</v>
      </c>
      <c r="M171" s="8" t="n">
        <v>61</v>
      </c>
      <c r="N171" s="8" t="s">
        <v>218</v>
      </c>
      <c r="O171" s="9" t="s">
        <v>124</v>
      </c>
    </row>
    <row r="172" customFormat="false" ht="15" hidden="false" customHeight="false" outlineLevel="0" collapsed="false">
      <c r="A172" s="8" t="s">
        <v>239</v>
      </c>
      <c r="B172" s="8" t="s">
        <v>237</v>
      </c>
      <c r="C172" s="8" t="s">
        <v>28</v>
      </c>
      <c r="D172" s="8" t="s">
        <v>29</v>
      </c>
      <c r="E172" s="8" t="s">
        <v>21</v>
      </c>
      <c r="F172" s="8" t="n">
        <v>24.7</v>
      </c>
      <c r="G172" s="8" t="n">
        <v>4.573</v>
      </c>
      <c r="H172" s="8" t="n">
        <v>0.716</v>
      </c>
      <c r="I172" s="8" t="n">
        <v>2747</v>
      </c>
      <c r="J172" s="8" t="n">
        <v>0.744</v>
      </c>
      <c r="K172" s="8" t="n">
        <v>2.18</v>
      </c>
      <c r="L172" s="8" t="n">
        <v>55.4</v>
      </c>
      <c r="M172" s="8" t="n">
        <v>65.4</v>
      </c>
      <c r="N172" s="8" t="s">
        <v>212</v>
      </c>
      <c r="O172" s="9" t="s">
        <v>124</v>
      </c>
    </row>
    <row r="173" customFormat="false" ht="15" hidden="false" customHeight="false" outlineLevel="0" collapsed="false">
      <c r="A173" s="4" t="s">
        <v>240</v>
      </c>
      <c r="B173" s="4" t="s">
        <v>237</v>
      </c>
      <c r="C173" s="4" t="s">
        <v>19</v>
      </c>
      <c r="D173" s="4" t="s">
        <v>31</v>
      </c>
      <c r="E173" s="4" t="s">
        <v>21</v>
      </c>
      <c r="F173" s="4" t="n">
        <v>27.5</v>
      </c>
      <c r="G173" s="4" t="n">
        <v>4.518</v>
      </c>
      <c r="H173" s="4" t="n">
        <v>0.778</v>
      </c>
      <c r="I173" s="4" t="n">
        <v>2617</v>
      </c>
      <c r="J173" s="4" t="n">
        <v>0.783</v>
      </c>
      <c r="K173" s="4" t="n">
        <v>2.26</v>
      </c>
      <c r="L173" s="4" t="n">
        <v>51.3</v>
      </c>
      <c r="M173" s="4" t="n">
        <v>65.6</v>
      </c>
      <c r="N173" s="4" t="s">
        <v>22</v>
      </c>
      <c r="O173" s="5" t="s">
        <v>23</v>
      </c>
    </row>
    <row r="174" customFormat="false" ht="15" hidden="false" customHeight="false" outlineLevel="0" collapsed="false">
      <c r="A174" s="6" t="s">
        <v>241</v>
      </c>
      <c r="B174" s="6" t="s">
        <v>237</v>
      </c>
      <c r="C174" s="6" t="s">
        <v>25</v>
      </c>
      <c r="D174" s="6" t="s">
        <v>33</v>
      </c>
      <c r="E174" s="6" t="s">
        <v>21</v>
      </c>
      <c r="F174" s="6" t="n">
        <v>27.4</v>
      </c>
      <c r="G174" s="6" t="n">
        <v>4.54</v>
      </c>
      <c r="H174" s="6" t="n">
        <v>0.677</v>
      </c>
      <c r="I174" s="6" t="n">
        <v>2671</v>
      </c>
      <c r="J174" s="6" t="n">
        <v>0.833</v>
      </c>
      <c r="K174" s="6" t="n">
        <v>2.05</v>
      </c>
      <c r="L174" s="6" t="n">
        <v>49.9</v>
      </c>
      <c r="M174" s="6" t="n">
        <v>62.4</v>
      </c>
      <c r="N174" s="6" t="s">
        <v>22</v>
      </c>
      <c r="O174" s="7" t="s">
        <v>23</v>
      </c>
    </row>
    <row r="175" customFormat="false" ht="15" hidden="false" customHeight="false" outlineLevel="0" collapsed="false">
      <c r="A175" s="4" t="s">
        <v>242</v>
      </c>
      <c r="B175" s="4" t="s">
        <v>243</v>
      </c>
      <c r="C175" s="4" t="s">
        <v>28</v>
      </c>
      <c r="D175" s="4" t="s">
        <v>20</v>
      </c>
      <c r="E175" s="4" t="s">
        <v>21</v>
      </c>
      <c r="F175" s="4" t="n">
        <v>26.6</v>
      </c>
      <c r="G175" s="4" t="n">
        <v>4.484</v>
      </c>
      <c r="H175" s="4" t="n">
        <v>0.763</v>
      </c>
      <c r="I175" s="4" t="n">
        <v>2684</v>
      </c>
      <c r="J175" s="4" t="n">
        <v>0.766</v>
      </c>
      <c r="K175" s="4" t="n">
        <v>2.2</v>
      </c>
      <c r="L175" s="4" t="n">
        <v>47.3</v>
      </c>
      <c r="M175" s="4" t="n">
        <v>63.8</v>
      </c>
      <c r="N175" s="4" t="s">
        <v>22</v>
      </c>
      <c r="O175" s="5" t="s">
        <v>23</v>
      </c>
    </row>
    <row r="176" customFormat="false" ht="15" hidden="false" customHeight="false" outlineLevel="0" collapsed="false">
      <c r="A176" s="6" t="s">
        <v>244</v>
      </c>
      <c r="B176" s="6" t="s">
        <v>243</v>
      </c>
      <c r="C176" s="6" t="s">
        <v>19</v>
      </c>
      <c r="D176" s="6" t="s">
        <v>26</v>
      </c>
      <c r="E176" s="6" t="s">
        <v>21</v>
      </c>
      <c r="F176" s="6" t="n">
        <v>25.3</v>
      </c>
      <c r="G176" s="6" t="n">
        <v>4.662</v>
      </c>
      <c r="H176" s="6" t="n">
        <v>0.735</v>
      </c>
      <c r="I176" s="6" t="n">
        <v>2678</v>
      </c>
      <c r="J176" s="6" t="n">
        <v>0.819</v>
      </c>
      <c r="K176" s="6" t="n">
        <v>2.55</v>
      </c>
      <c r="L176" s="6" t="n">
        <v>51</v>
      </c>
      <c r="M176" s="6" t="n">
        <v>62.2</v>
      </c>
      <c r="N176" s="6" t="s">
        <v>22</v>
      </c>
      <c r="O176" s="7" t="s">
        <v>23</v>
      </c>
    </row>
    <row r="177" customFormat="false" ht="15" hidden="false" customHeight="false" outlineLevel="0" collapsed="false">
      <c r="A177" s="8" t="s">
        <v>245</v>
      </c>
      <c r="B177" s="8" t="s">
        <v>243</v>
      </c>
      <c r="C177" s="8" t="s">
        <v>25</v>
      </c>
      <c r="D177" s="8" t="s">
        <v>29</v>
      </c>
      <c r="E177" s="8" t="s">
        <v>21</v>
      </c>
      <c r="F177" s="8" t="n">
        <v>29.3</v>
      </c>
      <c r="G177" s="8" t="n">
        <v>4.505</v>
      </c>
      <c r="H177" s="8" t="n">
        <v>0.751</v>
      </c>
      <c r="I177" s="8" t="n">
        <v>2577</v>
      </c>
      <c r="J177" s="8" t="n">
        <v>0.747</v>
      </c>
      <c r="K177" s="8" t="n">
        <v>1.59</v>
      </c>
      <c r="L177" s="8" t="n">
        <v>60.2</v>
      </c>
      <c r="M177" s="8" t="n">
        <v>63.9</v>
      </c>
      <c r="N177" s="8" t="s">
        <v>246</v>
      </c>
      <c r="O177" s="9" t="s">
        <v>124</v>
      </c>
    </row>
    <row r="178" customFormat="false" ht="15" hidden="false" customHeight="false" outlineLevel="0" collapsed="false">
      <c r="A178" s="8" t="s">
        <v>247</v>
      </c>
      <c r="B178" s="8" t="s">
        <v>243</v>
      </c>
      <c r="C178" s="8" t="s">
        <v>28</v>
      </c>
      <c r="D178" s="8" t="s">
        <v>31</v>
      </c>
      <c r="E178" s="8" t="s">
        <v>21</v>
      </c>
      <c r="F178" s="8" t="n">
        <v>27</v>
      </c>
      <c r="G178" s="8" t="n">
        <v>4.477</v>
      </c>
      <c r="H178" s="8" t="n">
        <v>0.71</v>
      </c>
      <c r="I178" s="8" t="n">
        <v>2684</v>
      </c>
      <c r="J178" s="8" t="n">
        <v>0.78</v>
      </c>
      <c r="K178" s="8" t="n">
        <v>2.21</v>
      </c>
      <c r="L178" s="8" t="n">
        <v>61.5</v>
      </c>
      <c r="M178" s="8" t="n">
        <v>63.8</v>
      </c>
      <c r="N178" s="8" t="s">
        <v>224</v>
      </c>
      <c r="O178" s="9" t="s">
        <v>124</v>
      </c>
    </row>
    <row r="179" customFormat="false" ht="15" hidden="false" customHeight="false" outlineLevel="0" collapsed="false">
      <c r="A179" s="4" t="s">
        <v>248</v>
      </c>
      <c r="B179" s="4" t="s">
        <v>243</v>
      </c>
      <c r="C179" s="4" t="s">
        <v>19</v>
      </c>
      <c r="D179" s="4" t="s">
        <v>33</v>
      </c>
      <c r="E179" s="4" t="s">
        <v>21</v>
      </c>
      <c r="F179" s="4" t="n">
        <v>28.9</v>
      </c>
      <c r="G179" s="4" t="n">
        <v>4.41</v>
      </c>
      <c r="H179" s="4" t="n">
        <v>0.702</v>
      </c>
      <c r="I179" s="4" t="n">
        <v>2720</v>
      </c>
      <c r="J179" s="4" t="n">
        <v>0.779</v>
      </c>
      <c r="K179" s="4" t="n">
        <v>1.8</v>
      </c>
      <c r="L179" s="4" t="n">
        <v>54</v>
      </c>
      <c r="M179" s="4" t="n">
        <v>64.3</v>
      </c>
      <c r="N179" s="4" t="s">
        <v>22</v>
      </c>
      <c r="O179" s="5" t="s">
        <v>23</v>
      </c>
    </row>
    <row r="180" customFormat="false" ht="15" hidden="false" customHeight="false" outlineLevel="0" collapsed="false">
      <c r="A180" s="8" t="s">
        <v>249</v>
      </c>
      <c r="B180" s="8" t="s">
        <v>250</v>
      </c>
      <c r="C180" s="8" t="s">
        <v>25</v>
      </c>
      <c r="D180" s="8" t="s">
        <v>20</v>
      </c>
      <c r="E180" s="8" t="s">
        <v>21</v>
      </c>
      <c r="F180" s="8" t="n">
        <v>25.4</v>
      </c>
      <c r="G180" s="8" t="n">
        <v>4.421</v>
      </c>
      <c r="H180" s="8" t="n">
        <v>0.702</v>
      </c>
      <c r="I180" s="8" t="n">
        <v>2637</v>
      </c>
      <c r="J180" s="8" t="n">
        <v>0.737</v>
      </c>
      <c r="K180" s="8" t="n">
        <v>2.08</v>
      </c>
      <c r="L180" s="8" t="n">
        <v>51.3</v>
      </c>
      <c r="M180" s="8" t="n">
        <v>67.1</v>
      </c>
      <c r="N180" s="8" t="s">
        <v>212</v>
      </c>
      <c r="O180" s="9" t="s">
        <v>124</v>
      </c>
    </row>
    <row r="181" customFormat="false" ht="15" hidden="false" customHeight="false" outlineLevel="0" collapsed="false">
      <c r="A181" s="8" t="s">
        <v>251</v>
      </c>
      <c r="B181" s="8" t="s">
        <v>250</v>
      </c>
      <c r="C181" s="8" t="s">
        <v>28</v>
      </c>
      <c r="D181" s="8" t="s">
        <v>26</v>
      </c>
      <c r="E181" s="8" t="s">
        <v>21</v>
      </c>
      <c r="F181" s="8" t="n">
        <v>28.1</v>
      </c>
      <c r="G181" s="8" t="n">
        <v>4.526</v>
      </c>
      <c r="H181" s="8" t="n">
        <v>0.685</v>
      </c>
      <c r="I181" s="8" t="n">
        <v>2662</v>
      </c>
      <c r="J181" s="8" t="n">
        <v>0.653</v>
      </c>
      <c r="K181" s="8" t="n">
        <v>1.39</v>
      </c>
      <c r="L181" s="8" t="n">
        <v>55.1</v>
      </c>
      <c r="M181" s="8" t="n">
        <v>62.5</v>
      </c>
      <c r="N181" s="8" t="s">
        <v>212</v>
      </c>
      <c r="O181" s="9" t="s">
        <v>124</v>
      </c>
    </row>
    <row r="182" customFormat="false" ht="15" hidden="false" customHeight="false" outlineLevel="0" collapsed="false">
      <c r="A182" s="8" t="s">
        <v>252</v>
      </c>
      <c r="B182" s="8" t="s">
        <v>250</v>
      </c>
      <c r="C182" s="8" t="s">
        <v>19</v>
      </c>
      <c r="D182" s="8" t="s">
        <v>29</v>
      </c>
      <c r="E182" s="8" t="s">
        <v>21</v>
      </c>
      <c r="F182" s="8" t="n">
        <v>26.8</v>
      </c>
      <c r="G182" s="8" t="n">
        <v>4.697</v>
      </c>
      <c r="H182" s="8" t="n">
        <v>0.616</v>
      </c>
      <c r="I182" s="8" t="n">
        <v>2529</v>
      </c>
      <c r="J182" s="8" t="n">
        <v>0.626</v>
      </c>
      <c r="K182" s="8" t="n">
        <v>1.93</v>
      </c>
      <c r="L182" s="8" t="n">
        <v>60.5</v>
      </c>
      <c r="M182" s="8" t="n">
        <v>67.1</v>
      </c>
      <c r="N182" s="8" t="s">
        <v>246</v>
      </c>
      <c r="O182" s="9" t="s">
        <v>124</v>
      </c>
    </row>
    <row r="183" customFormat="false" ht="15" hidden="false" customHeight="false" outlineLevel="0" collapsed="false">
      <c r="A183" s="4" t="s">
        <v>253</v>
      </c>
      <c r="B183" s="4" t="s">
        <v>250</v>
      </c>
      <c r="C183" s="4" t="s">
        <v>25</v>
      </c>
      <c r="D183" s="4" t="s">
        <v>31</v>
      </c>
      <c r="E183" s="4" t="s">
        <v>21</v>
      </c>
      <c r="F183" s="4" t="n">
        <v>26.1</v>
      </c>
      <c r="G183" s="4" t="n">
        <v>4.488</v>
      </c>
      <c r="H183" s="4" t="n">
        <v>0.692</v>
      </c>
      <c r="I183" s="4" t="n">
        <v>2611</v>
      </c>
      <c r="J183" s="4" t="n">
        <v>0.782</v>
      </c>
      <c r="K183" s="4" t="n">
        <v>1.9</v>
      </c>
      <c r="L183" s="4" t="n">
        <v>53.2</v>
      </c>
      <c r="M183" s="4" t="n">
        <v>67.1</v>
      </c>
      <c r="N183" s="4" t="s">
        <v>22</v>
      </c>
      <c r="O183" s="5" t="s">
        <v>23</v>
      </c>
    </row>
    <row r="184" customFormat="false" ht="15" hidden="false" customHeight="false" outlineLevel="0" collapsed="false">
      <c r="A184" s="8" t="s">
        <v>254</v>
      </c>
      <c r="B184" s="8" t="s">
        <v>250</v>
      </c>
      <c r="C184" s="8" t="s">
        <v>28</v>
      </c>
      <c r="D184" s="8" t="s">
        <v>33</v>
      </c>
      <c r="E184" s="8" t="s">
        <v>21</v>
      </c>
      <c r="F184" s="8" t="n">
        <v>28.1</v>
      </c>
      <c r="G184" s="8" t="n">
        <v>4.381</v>
      </c>
      <c r="H184" s="8" t="n">
        <v>0.709</v>
      </c>
      <c r="I184" s="8" t="n">
        <v>2616</v>
      </c>
      <c r="J184" s="8" t="n">
        <v>0.717</v>
      </c>
      <c r="K184" s="8" t="n">
        <v>1.62</v>
      </c>
      <c r="L184" s="8" t="n">
        <v>56.1</v>
      </c>
      <c r="M184" s="8" t="n">
        <v>66.6</v>
      </c>
      <c r="N184" s="8" t="s">
        <v>212</v>
      </c>
      <c r="O184" s="9" t="s">
        <v>124</v>
      </c>
    </row>
    <row r="185" customFormat="false" ht="15" hidden="false" customHeight="false" outlineLevel="0" collapsed="false">
      <c r="A185" s="8" t="s">
        <v>255</v>
      </c>
      <c r="B185" s="8" t="s">
        <v>256</v>
      </c>
      <c r="C185" s="8" t="s">
        <v>19</v>
      </c>
      <c r="D185" s="8" t="s">
        <v>20</v>
      </c>
      <c r="E185" s="8" t="s">
        <v>21</v>
      </c>
      <c r="F185" s="8" t="n">
        <v>28.4</v>
      </c>
      <c r="G185" s="8" t="n">
        <v>4.372</v>
      </c>
      <c r="H185" s="8" t="n">
        <v>0.72</v>
      </c>
      <c r="I185" s="8" t="n">
        <v>2647</v>
      </c>
      <c r="J185" s="8" t="n">
        <v>0.746</v>
      </c>
      <c r="K185" s="8" t="n">
        <v>3.18</v>
      </c>
      <c r="L185" s="8" t="n">
        <v>53.7</v>
      </c>
      <c r="M185" s="8" t="n">
        <v>66.2</v>
      </c>
      <c r="N185" s="8" t="s">
        <v>212</v>
      </c>
      <c r="O185" s="9" t="s">
        <v>124</v>
      </c>
    </row>
    <row r="186" customFormat="false" ht="15" hidden="false" customHeight="false" outlineLevel="0" collapsed="false">
      <c r="A186" s="8" t="s">
        <v>257</v>
      </c>
      <c r="B186" s="8" t="s">
        <v>256</v>
      </c>
      <c r="C186" s="8" t="s">
        <v>25</v>
      </c>
      <c r="D186" s="8" t="s">
        <v>26</v>
      </c>
      <c r="E186" s="8" t="s">
        <v>21</v>
      </c>
      <c r="F186" s="8" t="n">
        <v>26.5</v>
      </c>
      <c r="G186" s="8" t="n">
        <v>4.522</v>
      </c>
      <c r="H186" s="8" t="n">
        <v>0.737</v>
      </c>
      <c r="I186" s="8" t="n">
        <v>2818</v>
      </c>
      <c r="J186" s="8" t="n">
        <v>0.704</v>
      </c>
      <c r="K186" s="8" t="n">
        <v>1.5</v>
      </c>
      <c r="L186" s="8" t="n">
        <v>44.9</v>
      </c>
      <c r="M186" s="8" t="n">
        <v>64.9</v>
      </c>
      <c r="N186" s="8" t="s">
        <v>212</v>
      </c>
      <c r="O186" s="9" t="s">
        <v>124</v>
      </c>
    </row>
    <row r="187" customFormat="false" ht="15" hidden="false" customHeight="false" outlineLevel="0" collapsed="false">
      <c r="A187" s="8" t="s">
        <v>258</v>
      </c>
      <c r="B187" s="8" t="s">
        <v>256</v>
      </c>
      <c r="C187" s="8" t="s">
        <v>28</v>
      </c>
      <c r="D187" s="8" t="s">
        <v>29</v>
      </c>
      <c r="E187" s="8" t="s">
        <v>21</v>
      </c>
      <c r="F187" s="8" t="n">
        <v>28</v>
      </c>
      <c r="G187" s="8" t="n">
        <v>4.553</v>
      </c>
      <c r="H187" s="8" t="n">
        <v>0.756</v>
      </c>
      <c r="I187" s="8" t="n">
        <v>2658</v>
      </c>
      <c r="J187" s="8" t="n">
        <v>0.733</v>
      </c>
      <c r="K187" s="8" t="n">
        <v>1.61</v>
      </c>
      <c r="L187" s="8" t="n">
        <v>44.4</v>
      </c>
      <c r="M187" s="8" t="n">
        <v>59.5</v>
      </c>
      <c r="N187" s="8" t="s">
        <v>212</v>
      </c>
      <c r="O187" s="9" t="s">
        <v>124</v>
      </c>
    </row>
    <row r="188" customFormat="false" ht="15" hidden="false" customHeight="false" outlineLevel="0" collapsed="false">
      <c r="A188" s="6" t="s">
        <v>259</v>
      </c>
      <c r="B188" s="6" t="s">
        <v>256</v>
      </c>
      <c r="C188" s="6" t="s">
        <v>19</v>
      </c>
      <c r="D188" s="6" t="s">
        <v>31</v>
      </c>
      <c r="E188" s="6" t="s">
        <v>21</v>
      </c>
      <c r="F188" s="6" t="n">
        <v>24.7</v>
      </c>
      <c r="G188" s="6" t="n">
        <v>4.544</v>
      </c>
      <c r="H188" s="6" t="n">
        <v>0.678</v>
      </c>
      <c r="I188" s="6" t="n">
        <v>2625</v>
      </c>
      <c r="J188" s="6" t="n">
        <v>0.806</v>
      </c>
      <c r="K188" s="6" t="n">
        <v>2.13</v>
      </c>
      <c r="L188" s="6" t="n">
        <v>46.8</v>
      </c>
      <c r="M188" s="6" t="n">
        <v>66.1</v>
      </c>
      <c r="N188" s="6" t="s">
        <v>22</v>
      </c>
      <c r="O188" s="7" t="s">
        <v>23</v>
      </c>
    </row>
    <row r="189" customFormat="false" ht="15" hidden="false" customHeight="false" outlineLevel="0" collapsed="false">
      <c r="A189" s="8" t="s">
        <v>260</v>
      </c>
      <c r="B189" s="8" t="s">
        <v>256</v>
      </c>
      <c r="C189" s="8" t="s">
        <v>25</v>
      </c>
      <c r="D189" s="8" t="s">
        <v>33</v>
      </c>
      <c r="E189" s="8" t="s">
        <v>21</v>
      </c>
      <c r="F189" s="8" t="n">
        <v>29.8</v>
      </c>
      <c r="G189" s="8" t="n">
        <v>4.351</v>
      </c>
      <c r="H189" s="8" t="n">
        <v>0.743</v>
      </c>
      <c r="I189" s="8" t="n">
        <v>2586</v>
      </c>
      <c r="J189" s="8" t="n">
        <v>0.815</v>
      </c>
      <c r="K189" s="8" t="n">
        <v>1.87</v>
      </c>
      <c r="L189" s="8" t="n">
        <v>55.2</v>
      </c>
      <c r="M189" s="8" t="n">
        <v>64.4</v>
      </c>
      <c r="N189" s="8" t="s">
        <v>232</v>
      </c>
      <c r="O189" s="9" t="s">
        <v>124</v>
      </c>
    </row>
    <row r="190" customFormat="false" ht="15" hidden="false" customHeight="false" outlineLevel="0" collapsed="false">
      <c r="A190" s="6" t="s">
        <v>261</v>
      </c>
      <c r="B190" s="6" t="s">
        <v>262</v>
      </c>
      <c r="C190" s="6" t="s">
        <v>28</v>
      </c>
      <c r="D190" s="6" t="s">
        <v>20</v>
      </c>
      <c r="E190" s="6" t="s">
        <v>21</v>
      </c>
      <c r="F190" s="6" t="n">
        <v>27</v>
      </c>
      <c r="G190" s="6" t="n">
        <v>4.654</v>
      </c>
      <c r="H190" s="6" t="n">
        <v>0.723</v>
      </c>
      <c r="I190" s="6" t="n">
        <v>2623</v>
      </c>
      <c r="J190" s="6" t="n">
        <v>0.796</v>
      </c>
      <c r="K190" s="6" t="n">
        <v>1.12</v>
      </c>
      <c r="L190" s="6" t="n">
        <v>52.4</v>
      </c>
      <c r="M190" s="6" t="n">
        <v>64.1</v>
      </c>
      <c r="N190" s="6" t="s">
        <v>22</v>
      </c>
      <c r="O190" s="7" t="s">
        <v>23</v>
      </c>
    </row>
    <row r="191" customFormat="false" ht="15" hidden="false" customHeight="false" outlineLevel="0" collapsed="false">
      <c r="A191" s="4" t="s">
        <v>263</v>
      </c>
      <c r="B191" s="4" t="s">
        <v>262</v>
      </c>
      <c r="C191" s="4" t="s">
        <v>19</v>
      </c>
      <c r="D191" s="4" t="s">
        <v>26</v>
      </c>
      <c r="E191" s="4" t="s">
        <v>21</v>
      </c>
      <c r="F191" s="4" t="n">
        <v>25.5</v>
      </c>
      <c r="G191" s="4" t="n">
        <v>4.484</v>
      </c>
      <c r="H191" s="4" t="n">
        <v>0.715</v>
      </c>
      <c r="I191" s="4" t="n">
        <v>2643</v>
      </c>
      <c r="J191" s="4" t="n">
        <v>0.816</v>
      </c>
      <c r="K191" s="4" t="n">
        <v>1.99</v>
      </c>
      <c r="L191" s="4" t="n">
        <v>59.6</v>
      </c>
      <c r="M191" s="4" t="n">
        <v>64.2</v>
      </c>
      <c r="N191" s="4" t="s">
        <v>22</v>
      </c>
      <c r="O191" s="5" t="s">
        <v>23</v>
      </c>
    </row>
    <row r="192" customFormat="false" ht="15" hidden="false" customHeight="false" outlineLevel="0" collapsed="false">
      <c r="A192" s="8" t="s">
        <v>264</v>
      </c>
      <c r="B192" s="8" t="s">
        <v>262</v>
      </c>
      <c r="C192" s="8" t="s">
        <v>25</v>
      </c>
      <c r="D192" s="8" t="s">
        <v>29</v>
      </c>
      <c r="E192" s="8" t="s">
        <v>21</v>
      </c>
      <c r="F192" s="8" t="n">
        <v>27.9</v>
      </c>
      <c r="G192" s="8" t="n">
        <v>4.523</v>
      </c>
      <c r="H192" s="8" t="n">
        <v>0.685</v>
      </c>
      <c r="I192" s="8" t="n">
        <v>2546</v>
      </c>
      <c r="J192" s="8" t="n">
        <v>0.846</v>
      </c>
      <c r="K192" s="8" t="n">
        <v>1.73</v>
      </c>
      <c r="L192" s="8" t="n">
        <v>56.1</v>
      </c>
      <c r="M192" s="8" t="n">
        <v>65.5</v>
      </c>
      <c r="N192" s="8" t="s">
        <v>232</v>
      </c>
      <c r="O192" s="9" t="s">
        <v>124</v>
      </c>
    </row>
    <row r="193" customFormat="false" ht="15" hidden="false" customHeight="false" outlineLevel="0" collapsed="false">
      <c r="A193" s="8" t="s">
        <v>265</v>
      </c>
      <c r="B193" s="8" t="s">
        <v>262</v>
      </c>
      <c r="C193" s="8" t="s">
        <v>28</v>
      </c>
      <c r="D193" s="8" t="s">
        <v>31</v>
      </c>
      <c r="E193" s="8" t="s">
        <v>21</v>
      </c>
      <c r="F193" s="8" t="n">
        <v>26.9</v>
      </c>
      <c r="G193" s="8" t="n">
        <v>4.381</v>
      </c>
      <c r="H193" s="8" t="n">
        <v>0.771</v>
      </c>
      <c r="I193" s="8" t="n">
        <v>2659</v>
      </c>
      <c r="J193" s="8" t="n">
        <v>0.679</v>
      </c>
      <c r="K193" s="8" t="n">
        <v>2.18</v>
      </c>
      <c r="L193" s="8" t="n">
        <v>53.9</v>
      </c>
      <c r="M193" s="8" t="n">
        <v>67.5</v>
      </c>
      <c r="N193" s="8" t="s">
        <v>212</v>
      </c>
      <c r="O193" s="9" t="s">
        <v>124</v>
      </c>
    </row>
    <row r="194" customFormat="false" ht="15" hidden="false" customHeight="false" outlineLevel="0" collapsed="false">
      <c r="A194" s="6" t="s">
        <v>266</v>
      </c>
      <c r="B194" s="6" t="s">
        <v>262</v>
      </c>
      <c r="C194" s="6" t="s">
        <v>19</v>
      </c>
      <c r="D194" s="6" t="s">
        <v>33</v>
      </c>
      <c r="E194" s="6" t="s">
        <v>21</v>
      </c>
      <c r="F194" s="6" t="n">
        <v>28.9</v>
      </c>
      <c r="G194" s="6" t="n">
        <v>4.438</v>
      </c>
      <c r="H194" s="6" t="n">
        <v>0.7</v>
      </c>
      <c r="I194" s="6" t="n">
        <v>2682</v>
      </c>
      <c r="J194" s="6" t="n">
        <v>0.803</v>
      </c>
      <c r="K194" s="6" t="n">
        <v>2.18</v>
      </c>
      <c r="L194" s="6" t="n">
        <v>55.7</v>
      </c>
      <c r="M194" s="6" t="n">
        <v>62.8</v>
      </c>
      <c r="N194" s="6" t="s">
        <v>22</v>
      </c>
      <c r="O194" s="7" t="s">
        <v>23</v>
      </c>
    </row>
    <row r="195" customFormat="false" ht="15" hidden="false" customHeight="false" outlineLevel="0" collapsed="false">
      <c r="A195" s="4" t="s">
        <v>267</v>
      </c>
      <c r="B195" s="4" t="s">
        <v>268</v>
      </c>
      <c r="C195" s="4" t="s">
        <v>25</v>
      </c>
      <c r="D195" s="4" t="s">
        <v>20</v>
      </c>
      <c r="E195" s="4" t="s">
        <v>21</v>
      </c>
      <c r="F195" s="4" t="n">
        <v>28.4</v>
      </c>
      <c r="G195" s="4" t="n">
        <v>4.553</v>
      </c>
      <c r="H195" s="4" t="n">
        <v>0.73</v>
      </c>
      <c r="I195" s="4" t="n">
        <v>2617</v>
      </c>
      <c r="J195" s="4" t="n">
        <v>0.776</v>
      </c>
      <c r="K195" s="4" t="n">
        <v>2.56</v>
      </c>
      <c r="L195" s="4" t="n">
        <v>57</v>
      </c>
      <c r="M195" s="4" t="n">
        <v>65.1</v>
      </c>
      <c r="N195" s="4" t="s">
        <v>22</v>
      </c>
      <c r="O195" s="5" t="s">
        <v>23</v>
      </c>
    </row>
    <row r="196" customFormat="false" ht="15" hidden="false" customHeight="false" outlineLevel="0" collapsed="false">
      <c r="A196" s="8" t="s">
        <v>269</v>
      </c>
      <c r="B196" s="8" t="s">
        <v>268</v>
      </c>
      <c r="C196" s="8" t="s">
        <v>28</v>
      </c>
      <c r="D196" s="8" t="s">
        <v>26</v>
      </c>
      <c r="E196" s="8" t="s">
        <v>21</v>
      </c>
      <c r="F196" s="8" t="n">
        <v>23.9</v>
      </c>
      <c r="G196" s="8" t="n">
        <v>4.355</v>
      </c>
      <c r="H196" s="8" t="n">
        <v>0.755</v>
      </c>
      <c r="I196" s="8" t="n">
        <v>2604</v>
      </c>
      <c r="J196" s="8" t="n">
        <v>0.687</v>
      </c>
      <c r="K196" s="8" t="n">
        <v>1.89</v>
      </c>
      <c r="L196" s="8" t="n">
        <v>58.8</v>
      </c>
      <c r="M196" s="8" t="n">
        <v>63.9</v>
      </c>
      <c r="N196" s="8" t="s">
        <v>212</v>
      </c>
      <c r="O196" s="9" t="s">
        <v>124</v>
      </c>
    </row>
    <row r="197" customFormat="false" ht="15" hidden="false" customHeight="false" outlineLevel="0" collapsed="false">
      <c r="A197" s="8" t="s">
        <v>270</v>
      </c>
      <c r="B197" s="8" t="s">
        <v>268</v>
      </c>
      <c r="C197" s="8" t="s">
        <v>19</v>
      </c>
      <c r="D197" s="8" t="s">
        <v>29</v>
      </c>
      <c r="E197" s="8" t="s">
        <v>21</v>
      </c>
      <c r="F197" s="8" t="n">
        <v>29.5</v>
      </c>
      <c r="G197" s="8" t="n">
        <v>4.537</v>
      </c>
      <c r="H197" s="8" t="n">
        <v>0.754</v>
      </c>
      <c r="I197" s="8" t="n">
        <v>2665</v>
      </c>
      <c r="J197" s="8" t="n">
        <v>0.718</v>
      </c>
      <c r="K197" s="8" t="n">
        <v>2.45</v>
      </c>
      <c r="L197" s="8" t="n">
        <v>56.9</v>
      </c>
      <c r="M197" s="8" t="n">
        <v>65.6</v>
      </c>
      <c r="N197" s="8" t="s">
        <v>212</v>
      </c>
      <c r="O197" s="9" t="s">
        <v>124</v>
      </c>
    </row>
    <row r="198" customFormat="false" ht="15" hidden="false" customHeight="false" outlineLevel="0" collapsed="false">
      <c r="A198" s="6" t="s">
        <v>271</v>
      </c>
      <c r="B198" s="6" t="s">
        <v>268</v>
      </c>
      <c r="C198" s="6" t="s">
        <v>25</v>
      </c>
      <c r="D198" s="6" t="s">
        <v>31</v>
      </c>
      <c r="E198" s="6" t="s">
        <v>21</v>
      </c>
      <c r="F198" s="6" t="n">
        <v>26.4</v>
      </c>
      <c r="G198" s="6" t="n">
        <v>4.509</v>
      </c>
      <c r="H198" s="6" t="n">
        <v>0.705</v>
      </c>
      <c r="I198" s="6" t="n">
        <v>2609</v>
      </c>
      <c r="J198" s="6" t="n">
        <v>0.889</v>
      </c>
      <c r="K198" s="6" t="n">
        <v>2.4</v>
      </c>
      <c r="L198" s="6" t="n">
        <v>51</v>
      </c>
      <c r="M198" s="6" t="n">
        <v>67.1</v>
      </c>
      <c r="N198" s="6" t="s">
        <v>22</v>
      </c>
      <c r="O198" s="7" t="s">
        <v>23</v>
      </c>
    </row>
    <row r="199" customFormat="false" ht="15" hidden="false" customHeight="false" outlineLevel="0" collapsed="false">
      <c r="A199" s="4" t="s">
        <v>272</v>
      </c>
      <c r="B199" s="4" t="s">
        <v>268</v>
      </c>
      <c r="C199" s="4" t="s">
        <v>28</v>
      </c>
      <c r="D199" s="4" t="s">
        <v>33</v>
      </c>
      <c r="E199" s="4" t="s">
        <v>21</v>
      </c>
      <c r="F199" s="4" t="n">
        <v>27.1</v>
      </c>
      <c r="G199" s="4" t="n">
        <v>4.606</v>
      </c>
      <c r="H199" s="4" t="n">
        <v>0.649</v>
      </c>
      <c r="I199" s="4" t="n">
        <v>2649</v>
      </c>
      <c r="J199" s="4" t="n">
        <v>0.763</v>
      </c>
      <c r="K199" s="4" t="n">
        <v>2.1</v>
      </c>
      <c r="L199" s="4" t="n">
        <v>48.5</v>
      </c>
      <c r="M199" s="4" t="n">
        <v>68.4</v>
      </c>
      <c r="N199" s="4" t="s">
        <v>22</v>
      </c>
      <c r="O199" s="5" t="s">
        <v>23</v>
      </c>
    </row>
    <row r="200" customFormat="false" ht="15" hidden="false" customHeight="false" outlineLevel="0" collapsed="false">
      <c r="A200" s="6" t="s">
        <v>273</v>
      </c>
      <c r="B200" s="6" t="s">
        <v>274</v>
      </c>
      <c r="C200" s="6" t="s">
        <v>19</v>
      </c>
      <c r="D200" s="6" t="s">
        <v>20</v>
      </c>
      <c r="E200" s="6" t="s">
        <v>21</v>
      </c>
      <c r="F200" s="6" t="n">
        <v>27.7</v>
      </c>
      <c r="G200" s="6" t="n">
        <v>4.352</v>
      </c>
      <c r="H200" s="6" t="n">
        <v>0.65</v>
      </c>
      <c r="I200" s="6" t="n">
        <v>2659</v>
      </c>
      <c r="J200" s="6" t="n">
        <v>0.847</v>
      </c>
      <c r="K200" s="6" t="n">
        <v>1.4</v>
      </c>
      <c r="L200" s="6" t="n">
        <v>54.7</v>
      </c>
      <c r="M200" s="6" t="n">
        <v>66.2</v>
      </c>
      <c r="N200" s="6" t="s">
        <v>22</v>
      </c>
      <c r="O200" s="7" t="s">
        <v>23</v>
      </c>
    </row>
    <row r="201" customFormat="false" ht="15" hidden="false" customHeight="false" outlineLevel="0" collapsed="false">
      <c r="A201" s="8" t="s">
        <v>275</v>
      </c>
      <c r="B201" s="8" t="s">
        <v>274</v>
      </c>
      <c r="C201" s="8" t="s">
        <v>25</v>
      </c>
      <c r="D201" s="8" t="s">
        <v>26</v>
      </c>
      <c r="E201" s="8" t="s">
        <v>21</v>
      </c>
      <c r="F201" s="8" t="n">
        <v>26.8</v>
      </c>
      <c r="G201" s="8" t="n">
        <v>4.643</v>
      </c>
      <c r="H201" s="8" t="n">
        <v>0.794</v>
      </c>
      <c r="I201" s="8" t="n">
        <v>2670</v>
      </c>
      <c r="J201" s="8" t="n">
        <v>0.791</v>
      </c>
      <c r="K201" s="8" t="n">
        <v>1.72</v>
      </c>
      <c r="L201" s="8" t="n">
        <v>60.4</v>
      </c>
      <c r="M201" s="8" t="n">
        <v>65.1</v>
      </c>
      <c r="N201" s="8" t="s">
        <v>224</v>
      </c>
      <c r="O201" s="9" t="s">
        <v>124</v>
      </c>
    </row>
    <row r="202" customFormat="false" ht="15" hidden="false" customHeight="false" outlineLevel="0" collapsed="false">
      <c r="A202" s="8" t="s">
        <v>276</v>
      </c>
      <c r="B202" s="8" t="s">
        <v>274</v>
      </c>
      <c r="C202" s="8" t="s">
        <v>28</v>
      </c>
      <c r="D202" s="8" t="s">
        <v>29</v>
      </c>
      <c r="E202" s="8" t="s">
        <v>21</v>
      </c>
      <c r="F202" s="8" t="n">
        <v>25.8</v>
      </c>
      <c r="G202" s="8" t="n">
        <v>4.517</v>
      </c>
      <c r="H202" s="8" t="n">
        <v>0.701</v>
      </c>
      <c r="I202" s="8" t="n">
        <v>2658</v>
      </c>
      <c r="J202" s="8" t="n">
        <v>0.743</v>
      </c>
      <c r="K202" s="8" t="n">
        <v>1.48</v>
      </c>
      <c r="L202" s="8" t="n">
        <v>56.3</v>
      </c>
      <c r="M202" s="8" t="n">
        <v>60.8</v>
      </c>
      <c r="N202" s="8" t="s">
        <v>212</v>
      </c>
      <c r="O202" s="9" t="s">
        <v>124</v>
      </c>
    </row>
    <row r="203" customFormat="false" ht="15" hidden="false" customHeight="false" outlineLevel="0" collapsed="false">
      <c r="A203" s="4" t="s">
        <v>277</v>
      </c>
      <c r="B203" s="4" t="s">
        <v>274</v>
      </c>
      <c r="C203" s="4" t="s">
        <v>19</v>
      </c>
      <c r="D203" s="4" t="s">
        <v>31</v>
      </c>
      <c r="E203" s="4" t="s">
        <v>21</v>
      </c>
      <c r="F203" s="4" t="n">
        <v>27.7</v>
      </c>
      <c r="G203" s="4" t="n">
        <v>4.444</v>
      </c>
      <c r="H203" s="4" t="n">
        <v>0.689</v>
      </c>
      <c r="I203" s="4" t="n">
        <v>2713</v>
      </c>
      <c r="J203" s="4" t="n">
        <v>0.791</v>
      </c>
      <c r="K203" s="4" t="n">
        <v>2.01</v>
      </c>
      <c r="L203" s="4" t="n">
        <v>58.9</v>
      </c>
      <c r="M203" s="4" t="n">
        <v>63.5</v>
      </c>
      <c r="N203" s="4" t="s">
        <v>22</v>
      </c>
      <c r="O203" s="5" t="s">
        <v>23</v>
      </c>
    </row>
    <row r="204" customFormat="false" ht="15" hidden="false" customHeight="false" outlineLevel="0" collapsed="false">
      <c r="A204" s="8" t="s">
        <v>278</v>
      </c>
      <c r="B204" s="8" t="s">
        <v>274</v>
      </c>
      <c r="C204" s="8" t="s">
        <v>25</v>
      </c>
      <c r="D204" s="8" t="s">
        <v>33</v>
      </c>
      <c r="E204" s="8" t="s">
        <v>21</v>
      </c>
      <c r="F204" s="8" t="n">
        <v>25.8</v>
      </c>
      <c r="G204" s="8" t="n">
        <v>4.524</v>
      </c>
      <c r="H204" s="8" t="n">
        <v>0.689</v>
      </c>
      <c r="I204" s="8" t="n">
        <v>2505</v>
      </c>
      <c r="J204" s="8" t="n">
        <v>0.705</v>
      </c>
      <c r="K204" s="8" t="n">
        <v>2.03</v>
      </c>
      <c r="L204" s="8" t="n">
        <v>57.9</v>
      </c>
      <c r="M204" s="8" t="n">
        <v>64.6</v>
      </c>
      <c r="N204" s="8" t="s">
        <v>218</v>
      </c>
      <c r="O204" s="9" t="s">
        <v>124</v>
      </c>
    </row>
    <row r="205" customFormat="false" ht="15" hidden="false" customHeight="false" outlineLevel="0" collapsed="false">
      <c r="A205" s="8" t="s">
        <v>279</v>
      </c>
      <c r="B205" s="8" t="s">
        <v>280</v>
      </c>
      <c r="C205" s="8" t="s">
        <v>28</v>
      </c>
      <c r="D205" s="8" t="s">
        <v>20</v>
      </c>
      <c r="E205" s="8" t="s">
        <v>21</v>
      </c>
      <c r="F205" s="8" t="n">
        <v>27.4</v>
      </c>
      <c r="G205" s="8" t="n">
        <v>4.527</v>
      </c>
      <c r="H205" s="8" t="n">
        <v>0.709</v>
      </c>
      <c r="I205" s="8" t="n">
        <v>2611</v>
      </c>
      <c r="J205" s="8" t="n">
        <v>0.735</v>
      </c>
      <c r="K205" s="8" t="n">
        <v>1.44</v>
      </c>
      <c r="L205" s="8" t="n">
        <v>49.3</v>
      </c>
      <c r="M205" s="8" t="n">
        <v>65.1</v>
      </c>
      <c r="N205" s="8" t="s">
        <v>212</v>
      </c>
      <c r="O205" s="9" t="s">
        <v>124</v>
      </c>
    </row>
    <row r="206" customFormat="false" ht="15" hidden="false" customHeight="false" outlineLevel="0" collapsed="false">
      <c r="A206" s="6" t="s">
        <v>281</v>
      </c>
      <c r="B206" s="6" t="s">
        <v>280</v>
      </c>
      <c r="C206" s="6" t="s">
        <v>19</v>
      </c>
      <c r="D206" s="6" t="s">
        <v>26</v>
      </c>
      <c r="E206" s="6" t="s">
        <v>21</v>
      </c>
      <c r="F206" s="6" t="n">
        <v>27.6</v>
      </c>
      <c r="G206" s="6" t="n">
        <v>4.484</v>
      </c>
      <c r="H206" s="6" t="n">
        <v>0.763</v>
      </c>
      <c r="I206" s="6" t="n">
        <v>2695</v>
      </c>
      <c r="J206" s="6" t="n">
        <v>0.761</v>
      </c>
      <c r="K206" s="6" t="n">
        <v>2</v>
      </c>
      <c r="L206" s="6" t="n">
        <v>54</v>
      </c>
      <c r="M206" s="6" t="n">
        <v>60.8</v>
      </c>
      <c r="N206" s="6" t="s">
        <v>22</v>
      </c>
      <c r="O206" s="7" t="s">
        <v>23</v>
      </c>
    </row>
    <row r="207" customFormat="false" ht="15" hidden="false" customHeight="false" outlineLevel="0" collapsed="false">
      <c r="A207" s="8" t="s">
        <v>282</v>
      </c>
      <c r="B207" s="8" t="s">
        <v>280</v>
      </c>
      <c r="C207" s="8" t="s">
        <v>25</v>
      </c>
      <c r="D207" s="8" t="s">
        <v>29</v>
      </c>
      <c r="E207" s="8" t="s">
        <v>21</v>
      </c>
      <c r="F207" s="8" t="n">
        <v>25.4</v>
      </c>
      <c r="G207" s="8" t="n">
        <v>4.555</v>
      </c>
      <c r="H207" s="8" t="n">
        <v>0.749</v>
      </c>
      <c r="I207" s="8" t="n">
        <v>2501</v>
      </c>
      <c r="J207" s="8" t="n">
        <v>0.794</v>
      </c>
      <c r="K207" s="8" t="n">
        <v>2.41</v>
      </c>
      <c r="L207" s="8" t="n">
        <v>50.2</v>
      </c>
      <c r="M207" s="8" t="n">
        <v>64.1</v>
      </c>
      <c r="N207" s="8" t="s">
        <v>232</v>
      </c>
      <c r="O207" s="9" t="s">
        <v>124</v>
      </c>
    </row>
    <row r="208" customFormat="false" ht="15" hidden="false" customHeight="false" outlineLevel="0" collapsed="false">
      <c r="A208" s="8" t="s">
        <v>283</v>
      </c>
      <c r="B208" s="8" t="s">
        <v>280</v>
      </c>
      <c r="C208" s="8" t="s">
        <v>28</v>
      </c>
      <c r="D208" s="8" t="s">
        <v>31</v>
      </c>
      <c r="E208" s="8" t="s">
        <v>21</v>
      </c>
      <c r="F208" s="8" t="n">
        <v>29.9</v>
      </c>
      <c r="G208" s="8" t="n">
        <v>4.581</v>
      </c>
      <c r="H208" s="8" t="n">
        <v>0.73</v>
      </c>
      <c r="I208" s="8" t="n">
        <v>2734</v>
      </c>
      <c r="J208" s="8" t="n">
        <v>0.668</v>
      </c>
      <c r="K208" s="8" t="n">
        <v>2.09</v>
      </c>
      <c r="L208" s="8" t="n">
        <v>50.1</v>
      </c>
      <c r="M208" s="8" t="n">
        <v>62.1</v>
      </c>
      <c r="N208" s="8" t="s">
        <v>212</v>
      </c>
      <c r="O208" s="9" t="s">
        <v>124</v>
      </c>
    </row>
    <row r="209" customFormat="false" ht="15" hidden="false" customHeight="false" outlineLevel="0" collapsed="false">
      <c r="A209" s="8" t="s">
        <v>284</v>
      </c>
      <c r="B209" s="8" t="s">
        <v>280</v>
      </c>
      <c r="C209" s="8" t="s">
        <v>19</v>
      </c>
      <c r="D209" s="8" t="s">
        <v>33</v>
      </c>
      <c r="E209" s="8" t="s">
        <v>21</v>
      </c>
      <c r="F209" s="8" t="n">
        <v>29.5</v>
      </c>
      <c r="G209" s="8" t="n">
        <v>4.462</v>
      </c>
      <c r="H209" s="8" t="n">
        <v>0.835</v>
      </c>
      <c r="I209" s="8" t="n">
        <v>2674</v>
      </c>
      <c r="J209" s="8" t="n">
        <v>0.715</v>
      </c>
      <c r="K209" s="8" t="n">
        <v>2.13</v>
      </c>
      <c r="L209" s="8" t="n">
        <v>60.4</v>
      </c>
      <c r="M209" s="8" t="n">
        <v>63.7</v>
      </c>
      <c r="N209" s="8" t="s">
        <v>285</v>
      </c>
      <c r="O209" s="9" t="s">
        <v>124</v>
      </c>
    </row>
    <row r="210" customFormat="false" ht="15" hidden="false" customHeight="false" outlineLevel="0" collapsed="false">
      <c r="A210" s="6" t="s">
        <v>286</v>
      </c>
      <c r="B210" s="6" t="s">
        <v>287</v>
      </c>
      <c r="C210" s="6" t="s">
        <v>25</v>
      </c>
      <c r="D210" s="6" t="s">
        <v>20</v>
      </c>
      <c r="E210" s="6" t="s">
        <v>21</v>
      </c>
      <c r="F210" s="6" t="n">
        <v>26.6</v>
      </c>
      <c r="G210" s="6" t="n">
        <v>4.521</v>
      </c>
      <c r="H210" s="6" t="n">
        <v>0.695</v>
      </c>
      <c r="I210" s="6" t="n">
        <v>2674</v>
      </c>
      <c r="J210" s="6" t="n">
        <v>0.751</v>
      </c>
      <c r="K210" s="6" t="n">
        <v>1.93</v>
      </c>
      <c r="L210" s="6" t="n">
        <v>44.9</v>
      </c>
      <c r="M210" s="6" t="n">
        <v>66.4</v>
      </c>
      <c r="N210" s="6" t="s">
        <v>22</v>
      </c>
      <c r="O210" s="7" t="s">
        <v>23</v>
      </c>
    </row>
    <row r="211" customFormat="false" ht="15" hidden="false" customHeight="false" outlineLevel="0" collapsed="false">
      <c r="A211" s="8" t="s">
        <v>288</v>
      </c>
      <c r="B211" s="8" t="s">
        <v>287</v>
      </c>
      <c r="C211" s="8" t="s">
        <v>28</v>
      </c>
      <c r="D211" s="8" t="s">
        <v>26</v>
      </c>
      <c r="E211" s="8" t="s">
        <v>21</v>
      </c>
      <c r="F211" s="8" t="n">
        <v>25.7</v>
      </c>
      <c r="G211" s="8" t="n">
        <v>4.431</v>
      </c>
      <c r="H211" s="8" t="n">
        <v>0.738</v>
      </c>
      <c r="I211" s="8" t="n">
        <v>2690</v>
      </c>
      <c r="J211" s="8" t="n">
        <v>0.745</v>
      </c>
      <c r="K211" s="8" t="n">
        <v>1.81</v>
      </c>
      <c r="L211" s="8" t="n">
        <v>56.4</v>
      </c>
      <c r="M211" s="8" t="n">
        <v>61.1</v>
      </c>
      <c r="N211" s="8" t="s">
        <v>212</v>
      </c>
      <c r="O211" s="9" t="s">
        <v>124</v>
      </c>
    </row>
    <row r="212" customFormat="false" ht="15" hidden="false" customHeight="false" outlineLevel="0" collapsed="false">
      <c r="A212" s="8" t="s">
        <v>289</v>
      </c>
      <c r="B212" s="8" t="s">
        <v>287</v>
      </c>
      <c r="C212" s="8" t="s">
        <v>19</v>
      </c>
      <c r="D212" s="8" t="s">
        <v>29</v>
      </c>
      <c r="E212" s="8" t="s">
        <v>21</v>
      </c>
      <c r="F212" s="8" t="n">
        <v>30.4</v>
      </c>
      <c r="G212" s="8" t="n">
        <v>4.481</v>
      </c>
      <c r="H212" s="8" t="n">
        <v>0.684</v>
      </c>
      <c r="I212" s="8" t="n">
        <v>2632</v>
      </c>
      <c r="J212" s="8" t="n">
        <v>0.666</v>
      </c>
      <c r="K212" s="8" t="n">
        <v>2.01</v>
      </c>
      <c r="L212" s="8" t="n">
        <v>60.2</v>
      </c>
      <c r="M212" s="8" t="n">
        <v>67.7</v>
      </c>
      <c r="N212" s="8" t="s">
        <v>285</v>
      </c>
      <c r="O212" s="9" t="s">
        <v>124</v>
      </c>
    </row>
    <row r="213" customFormat="false" ht="15" hidden="false" customHeight="false" outlineLevel="0" collapsed="false">
      <c r="A213" s="4" t="s">
        <v>290</v>
      </c>
      <c r="B213" s="4" t="s">
        <v>287</v>
      </c>
      <c r="C213" s="4" t="s">
        <v>25</v>
      </c>
      <c r="D213" s="4" t="s">
        <v>31</v>
      </c>
      <c r="E213" s="4" t="s">
        <v>21</v>
      </c>
      <c r="F213" s="4" t="n">
        <v>27</v>
      </c>
      <c r="G213" s="4" t="n">
        <v>4.411</v>
      </c>
      <c r="H213" s="4" t="n">
        <v>0.739</v>
      </c>
      <c r="I213" s="4" t="n">
        <v>2604</v>
      </c>
      <c r="J213" s="4" t="n">
        <v>0.8</v>
      </c>
      <c r="K213" s="4" t="n">
        <v>2.09</v>
      </c>
      <c r="L213" s="4" t="n">
        <v>54.2</v>
      </c>
      <c r="M213" s="4" t="n">
        <v>64.6</v>
      </c>
      <c r="N213" s="4" t="s">
        <v>22</v>
      </c>
      <c r="O213" s="5" t="s">
        <v>23</v>
      </c>
    </row>
    <row r="214" customFormat="false" ht="15" hidden="false" customHeight="false" outlineLevel="0" collapsed="false">
      <c r="A214" s="8" t="s">
        <v>291</v>
      </c>
      <c r="B214" s="8" t="s">
        <v>287</v>
      </c>
      <c r="C214" s="8" t="s">
        <v>28</v>
      </c>
      <c r="D214" s="8" t="s">
        <v>33</v>
      </c>
      <c r="E214" s="8" t="s">
        <v>21</v>
      </c>
      <c r="F214" s="8" t="n">
        <v>29</v>
      </c>
      <c r="G214" s="8" t="n">
        <v>4.32</v>
      </c>
      <c r="H214" s="8" t="n">
        <v>0.752</v>
      </c>
      <c r="I214" s="8" t="n">
        <v>2650</v>
      </c>
      <c r="J214" s="8" t="n">
        <v>0.713</v>
      </c>
      <c r="K214" s="8" t="n">
        <v>1.63</v>
      </c>
      <c r="L214" s="8" t="n">
        <v>54.8</v>
      </c>
      <c r="M214" s="8" t="n">
        <v>62.4</v>
      </c>
      <c r="N214" s="8" t="s">
        <v>212</v>
      </c>
      <c r="O214" s="9" t="s">
        <v>124</v>
      </c>
    </row>
    <row r="215" customFormat="false" ht="15" hidden="false" customHeight="false" outlineLevel="0" collapsed="false">
      <c r="A215" s="8" t="s">
        <v>292</v>
      </c>
      <c r="B215" s="8" t="s">
        <v>293</v>
      </c>
      <c r="C215" s="8" t="s">
        <v>19</v>
      </c>
      <c r="D215" s="8" t="s">
        <v>20</v>
      </c>
      <c r="E215" s="8" t="s">
        <v>21</v>
      </c>
      <c r="F215" s="8" t="n">
        <v>27.2</v>
      </c>
      <c r="G215" s="8" t="n">
        <v>4.431</v>
      </c>
      <c r="H215" s="8" t="n">
        <v>0.642</v>
      </c>
      <c r="I215" s="8" t="n">
        <v>2607</v>
      </c>
      <c r="J215" s="8" t="n">
        <v>0.714</v>
      </c>
      <c r="K215" s="8" t="n">
        <v>1.09</v>
      </c>
      <c r="L215" s="8" t="n">
        <v>54.1</v>
      </c>
      <c r="M215" s="8" t="n">
        <v>66.8</v>
      </c>
      <c r="N215" s="8" t="s">
        <v>212</v>
      </c>
      <c r="O215" s="9" t="s">
        <v>124</v>
      </c>
    </row>
    <row r="216" customFormat="false" ht="15" hidden="false" customHeight="false" outlineLevel="0" collapsed="false">
      <c r="A216" s="8" t="s">
        <v>294</v>
      </c>
      <c r="B216" s="8" t="s">
        <v>293</v>
      </c>
      <c r="C216" s="8" t="s">
        <v>25</v>
      </c>
      <c r="D216" s="8" t="s">
        <v>26</v>
      </c>
      <c r="E216" s="8" t="s">
        <v>21</v>
      </c>
      <c r="F216" s="8" t="n">
        <v>27.7</v>
      </c>
      <c r="G216" s="8" t="n">
        <v>4.565</v>
      </c>
      <c r="H216" s="8" t="n">
        <v>0.672</v>
      </c>
      <c r="I216" s="8" t="n">
        <v>2662</v>
      </c>
      <c r="J216" s="8" t="n">
        <v>0.631</v>
      </c>
      <c r="K216" s="8" t="n">
        <v>1.43</v>
      </c>
      <c r="L216" s="8" t="n">
        <v>49.1</v>
      </c>
      <c r="M216" s="8" t="n">
        <v>63.4</v>
      </c>
      <c r="N216" s="8" t="s">
        <v>212</v>
      </c>
      <c r="O216" s="9" t="s">
        <v>124</v>
      </c>
    </row>
    <row r="217" customFormat="false" ht="15" hidden="false" customHeight="false" outlineLevel="0" collapsed="false">
      <c r="A217" s="4" t="s">
        <v>295</v>
      </c>
      <c r="B217" s="4" t="s">
        <v>293</v>
      </c>
      <c r="C217" s="4" t="s">
        <v>28</v>
      </c>
      <c r="D217" s="4" t="s">
        <v>29</v>
      </c>
      <c r="E217" s="4" t="s">
        <v>21</v>
      </c>
      <c r="F217" s="4" t="n">
        <v>30.5</v>
      </c>
      <c r="G217" s="4" t="n">
        <v>4.567</v>
      </c>
      <c r="H217" s="4" t="n">
        <v>0.7</v>
      </c>
      <c r="I217" s="4" t="n">
        <v>2744</v>
      </c>
      <c r="J217" s="4" t="n">
        <v>0.806</v>
      </c>
      <c r="K217" s="4" t="n">
        <v>2.38</v>
      </c>
      <c r="L217" s="4" t="n">
        <v>59</v>
      </c>
      <c r="M217" s="4" t="n">
        <v>65.6</v>
      </c>
      <c r="N217" s="4" t="s">
        <v>22</v>
      </c>
      <c r="O217" s="5" t="s">
        <v>23</v>
      </c>
    </row>
    <row r="218" customFormat="false" ht="15" hidden="false" customHeight="false" outlineLevel="0" collapsed="false">
      <c r="A218" s="6" t="s">
        <v>296</v>
      </c>
      <c r="B218" s="6" t="s">
        <v>293</v>
      </c>
      <c r="C218" s="6" t="s">
        <v>19</v>
      </c>
      <c r="D218" s="6" t="s">
        <v>31</v>
      </c>
      <c r="E218" s="6" t="s">
        <v>21</v>
      </c>
      <c r="F218" s="6" t="n">
        <v>27.5</v>
      </c>
      <c r="G218" s="6" t="n">
        <v>4.369</v>
      </c>
      <c r="H218" s="6" t="n">
        <v>0.714</v>
      </c>
      <c r="I218" s="6" t="n">
        <v>2800</v>
      </c>
      <c r="J218" s="6" t="n">
        <v>0.774</v>
      </c>
      <c r="K218" s="6" t="n">
        <v>1.87</v>
      </c>
      <c r="L218" s="6" t="n">
        <v>46.4</v>
      </c>
      <c r="M218" s="6" t="n">
        <v>66.2</v>
      </c>
      <c r="N218" s="6" t="s">
        <v>22</v>
      </c>
      <c r="O218" s="7" t="s">
        <v>23</v>
      </c>
    </row>
    <row r="219" customFormat="false" ht="15" hidden="false" customHeight="false" outlineLevel="0" collapsed="false">
      <c r="A219" s="8" t="s">
        <v>297</v>
      </c>
      <c r="B219" s="8" t="s">
        <v>293</v>
      </c>
      <c r="C219" s="8" t="s">
        <v>25</v>
      </c>
      <c r="D219" s="8" t="s">
        <v>33</v>
      </c>
      <c r="E219" s="8" t="s">
        <v>21</v>
      </c>
      <c r="F219" s="8" t="n">
        <v>27.7</v>
      </c>
      <c r="G219" s="8" t="n">
        <v>4.384</v>
      </c>
      <c r="H219" s="8" t="n">
        <v>0.743</v>
      </c>
      <c r="I219" s="8" t="n">
        <v>2710</v>
      </c>
      <c r="J219" s="8" t="n">
        <v>0.726</v>
      </c>
      <c r="K219" s="8" t="n">
        <v>1.42</v>
      </c>
      <c r="L219" s="8" t="n">
        <v>53.5</v>
      </c>
      <c r="M219" s="8" t="n">
        <v>65.4</v>
      </c>
      <c r="N219" s="8" t="s">
        <v>212</v>
      </c>
      <c r="O219" s="9" t="s">
        <v>124</v>
      </c>
    </row>
    <row r="220" customFormat="false" ht="15" hidden="false" customHeight="false" outlineLevel="0" collapsed="false">
      <c r="A220" s="6" t="s">
        <v>298</v>
      </c>
      <c r="B220" s="6" t="s">
        <v>299</v>
      </c>
      <c r="C220" s="6" t="s">
        <v>28</v>
      </c>
      <c r="D220" s="6" t="s">
        <v>20</v>
      </c>
      <c r="E220" s="6" t="s">
        <v>21</v>
      </c>
      <c r="F220" s="6" t="n">
        <v>29.4</v>
      </c>
      <c r="G220" s="6" t="n">
        <v>4.616</v>
      </c>
      <c r="H220" s="6" t="n">
        <v>0.737</v>
      </c>
      <c r="I220" s="6" t="n">
        <v>2655</v>
      </c>
      <c r="J220" s="6" t="n">
        <v>0.776</v>
      </c>
      <c r="K220" s="6" t="n">
        <v>1.96</v>
      </c>
      <c r="L220" s="6" t="n">
        <v>57.4</v>
      </c>
      <c r="M220" s="6" t="n">
        <v>67.9</v>
      </c>
      <c r="N220" s="6" t="s">
        <v>22</v>
      </c>
      <c r="O220" s="7" t="s">
        <v>23</v>
      </c>
    </row>
    <row r="221" customFormat="false" ht="15" hidden="false" customHeight="false" outlineLevel="0" collapsed="false">
      <c r="A221" s="4" t="s">
        <v>300</v>
      </c>
      <c r="B221" s="4" t="s">
        <v>299</v>
      </c>
      <c r="C221" s="4" t="s">
        <v>19</v>
      </c>
      <c r="D221" s="4" t="s">
        <v>26</v>
      </c>
      <c r="E221" s="4" t="s">
        <v>21</v>
      </c>
      <c r="F221" s="4" t="n">
        <v>30.3</v>
      </c>
      <c r="G221" s="4" t="n">
        <v>4.48</v>
      </c>
      <c r="H221" s="4" t="n">
        <v>0.727</v>
      </c>
      <c r="I221" s="4" t="n">
        <v>2723</v>
      </c>
      <c r="J221" s="4" t="n">
        <v>0.832</v>
      </c>
      <c r="K221" s="4" t="n">
        <v>2.5</v>
      </c>
      <c r="L221" s="4" t="n">
        <v>55.7</v>
      </c>
      <c r="M221" s="4" t="n">
        <v>64.6</v>
      </c>
      <c r="N221" s="4" t="s">
        <v>22</v>
      </c>
      <c r="O221" s="5" t="s">
        <v>23</v>
      </c>
    </row>
    <row r="222" customFormat="false" ht="15" hidden="false" customHeight="false" outlineLevel="0" collapsed="false">
      <c r="A222" s="8" t="s">
        <v>301</v>
      </c>
      <c r="B222" s="8" t="s">
        <v>299</v>
      </c>
      <c r="C222" s="8" t="s">
        <v>25</v>
      </c>
      <c r="D222" s="8" t="s">
        <v>29</v>
      </c>
      <c r="E222" s="8" t="s">
        <v>21</v>
      </c>
      <c r="F222" s="8" t="n">
        <v>28.3</v>
      </c>
      <c r="G222" s="8" t="n">
        <v>4.639</v>
      </c>
      <c r="H222" s="8" t="n">
        <v>0.651</v>
      </c>
      <c r="I222" s="8" t="n">
        <v>2493</v>
      </c>
      <c r="J222" s="8" t="n">
        <v>0.802</v>
      </c>
      <c r="K222" s="8" t="n">
        <v>1.59</v>
      </c>
      <c r="L222" s="8" t="n">
        <v>52.2</v>
      </c>
      <c r="M222" s="8" t="n">
        <v>64.8</v>
      </c>
      <c r="N222" s="8" t="s">
        <v>232</v>
      </c>
      <c r="O222" s="9" t="s">
        <v>124</v>
      </c>
    </row>
    <row r="223" customFormat="false" ht="15" hidden="false" customHeight="false" outlineLevel="0" collapsed="false">
      <c r="A223" s="8" t="s">
        <v>302</v>
      </c>
      <c r="B223" s="8" t="s">
        <v>299</v>
      </c>
      <c r="C223" s="8" t="s">
        <v>28</v>
      </c>
      <c r="D223" s="8" t="s">
        <v>31</v>
      </c>
      <c r="E223" s="8" t="s">
        <v>21</v>
      </c>
      <c r="F223" s="8" t="n">
        <v>27.4</v>
      </c>
      <c r="G223" s="8" t="n">
        <v>4.453</v>
      </c>
      <c r="H223" s="8" t="n">
        <v>0.741</v>
      </c>
      <c r="I223" s="8" t="n">
        <v>2557</v>
      </c>
      <c r="J223" s="8" t="n">
        <v>0.838</v>
      </c>
      <c r="K223" s="8" t="n">
        <v>1.53</v>
      </c>
      <c r="L223" s="8" t="n">
        <v>56.5</v>
      </c>
      <c r="M223" s="8" t="n">
        <v>63.8</v>
      </c>
      <c r="N223" s="8" t="s">
        <v>232</v>
      </c>
      <c r="O223" s="9" t="s">
        <v>124</v>
      </c>
    </row>
    <row r="224" customFormat="false" ht="15" hidden="false" customHeight="false" outlineLevel="0" collapsed="false">
      <c r="A224" s="6" t="s">
        <v>303</v>
      </c>
      <c r="B224" s="6" t="s">
        <v>299</v>
      </c>
      <c r="C224" s="6" t="s">
        <v>19</v>
      </c>
      <c r="D224" s="6" t="s">
        <v>33</v>
      </c>
      <c r="E224" s="6" t="s">
        <v>21</v>
      </c>
      <c r="F224" s="6" t="n">
        <v>26.7</v>
      </c>
      <c r="G224" s="6" t="n">
        <v>4.437</v>
      </c>
      <c r="H224" s="6" t="n">
        <v>0.82</v>
      </c>
      <c r="I224" s="6" t="n">
        <v>2655</v>
      </c>
      <c r="J224" s="6" t="n">
        <v>0.854</v>
      </c>
      <c r="K224" s="6" t="n">
        <v>2.25</v>
      </c>
      <c r="L224" s="6" t="n">
        <v>57.4</v>
      </c>
      <c r="M224" s="6" t="n">
        <v>66.1</v>
      </c>
      <c r="N224" s="6" t="s">
        <v>22</v>
      </c>
      <c r="O224" s="7" t="s">
        <v>23</v>
      </c>
    </row>
    <row r="225" customFormat="false" ht="15" hidden="false" customHeight="false" outlineLevel="0" collapsed="false">
      <c r="A225" s="4" t="s">
        <v>304</v>
      </c>
      <c r="B225" s="4" t="s">
        <v>305</v>
      </c>
      <c r="C225" s="4" t="s">
        <v>25</v>
      </c>
      <c r="D225" s="4" t="s">
        <v>20</v>
      </c>
      <c r="E225" s="4" t="s">
        <v>21</v>
      </c>
      <c r="F225" s="4" t="n">
        <v>26.1</v>
      </c>
      <c r="G225" s="4" t="n">
        <v>4.419</v>
      </c>
      <c r="H225" s="4" t="n">
        <v>0.704</v>
      </c>
      <c r="I225" s="4" t="n">
        <v>2750</v>
      </c>
      <c r="J225" s="4" t="n">
        <v>0.757</v>
      </c>
      <c r="K225" s="4" t="n">
        <v>1.87</v>
      </c>
      <c r="L225" s="4" t="n">
        <v>58.7</v>
      </c>
      <c r="M225" s="4" t="n">
        <v>65.5</v>
      </c>
      <c r="N225" s="4" t="s">
        <v>22</v>
      </c>
      <c r="O225" s="5" t="s">
        <v>23</v>
      </c>
    </row>
    <row r="226" customFormat="false" ht="15" hidden="false" customHeight="false" outlineLevel="0" collapsed="false">
      <c r="A226" s="8" t="s">
        <v>306</v>
      </c>
      <c r="B226" s="8" t="s">
        <v>305</v>
      </c>
      <c r="C226" s="8" t="s">
        <v>28</v>
      </c>
      <c r="D226" s="8" t="s">
        <v>26</v>
      </c>
      <c r="E226" s="8" t="s">
        <v>21</v>
      </c>
      <c r="F226" s="8" t="n">
        <v>24.7</v>
      </c>
      <c r="G226" s="8" t="n">
        <v>4.418</v>
      </c>
      <c r="H226" s="8" t="n">
        <v>0.729</v>
      </c>
      <c r="I226" s="8" t="n">
        <v>2835</v>
      </c>
      <c r="J226" s="8" t="n">
        <v>0.738</v>
      </c>
      <c r="K226" s="8" t="n">
        <v>1.8</v>
      </c>
      <c r="L226" s="8" t="n">
        <v>60.5</v>
      </c>
      <c r="M226" s="8" t="n">
        <v>66.4</v>
      </c>
      <c r="N226" s="8" t="s">
        <v>285</v>
      </c>
      <c r="O226" s="9" t="s">
        <v>124</v>
      </c>
    </row>
    <row r="227" customFormat="false" ht="15" hidden="false" customHeight="false" outlineLevel="0" collapsed="false">
      <c r="A227" s="4" t="s">
        <v>307</v>
      </c>
      <c r="B227" s="4" t="s">
        <v>305</v>
      </c>
      <c r="C227" s="4" t="s">
        <v>19</v>
      </c>
      <c r="D227" s="4" t="s">
        <v>29</v>
      </c>
      <c r="E227" s="4" t="s">
        <v>21</v>
      </c>
      <c r="F227" s="4" t="n">
        <v>24.9</v>
      </c>
      <c r="G227" s="4" t="n">
        <v>4.518</v>
      </c>
      <c r="H227" s="4" t="n">
        <v>0.697</v>
      </c>
      <c r="I227" s="4" t="n">
        <v>2731</v>
      </c>
      <c r="J227" s="4" t="n">
        <v>0.75</v>
      </c>
      <c r="K227" s="4" t="n">
        <v>2.95</v>
      </c>
      <c r="L227" s="4" t="n">
        <v>51.3</v>
      </c>
      <c r="M227" s="4" t="n">
        <v>62.1</v>
      </c>
      <c r="N227" s="4" t="s">
        <v>22</v>
      </c>
      <c r="O227" s="5" t="s">
        <v>23</v>
      </c>
    </row>
    <row r="228" customFormat="false" ht="15" hidden="false" customHeight="false" outlineLevel="0" collapsed="false">
      <c r="A228" s="8" t="s">
        <v>308</v>
      </c>
      <c r="B228" s="8" t="s">
        <v>305</v>
      </c>
      <c r="C228" s="8" t="s">
        <v>25</v>
      </c>
      <c r="D228" s="8" t="s">
        <v>31</v>
      </c>
      <c r="E228" s="8" t="s">
        <v>21</v>
      </c>
      <c r="F228" s="8" t="n">
        <v>27</v>
      </c>
      <c r="G228" s="8" t="n">
        <v>4.569</v>
      </c>
      <c r="H228" s="8" t="n">
        <v>0.742</v>
      </c>
      <c r="I228" s="8" t="n">
        <v>2607</v>
      </c>
      <c r="J228" s="8" t="n">
        <v>0.711</v>
      </c>
      <c r="K228" s="8" t="n">
        <v>1.66</v>
      </c>
      <c r="L228" s="8" t="n">
        <v>53.3</v>
      </c>
      <c r="M228" s="8" t="n">
        <v>63</v>
      </c>
      <c r="N228" s="8" t="s">
        <v>212</v>
      </c>
      <c r="O228" s="9" t="s">
        <v>124</v>
      </c>
    </row>
    <row r="229" customFormat="false" ht="15" hidden="false" customHeight="false" outlineLevel="0" collapsed="false">
      <c r="A229" s="8" t="s">
        <v>309</v>
      </c>
      <c r="B229" s="8" t="s">
        <v>305</v>
      </c>
      <c r="C229" s="8" t="s">
        <v>28</v>
      </c>
      <c r="D229" s="8" t="s">
        <v>33</v>
      </c>
      <c r="E229" s="8" t="s">
        <v>21</v>
      </c>
      <c r="F229" s="8" t="n">
        <v>27.2</v>
      </c>
      <c r="G229" s="8" t="n">
        <v>4.497</v>
      </c>
      <c r="H229" s="8" t="n">
        <v>0.74</v>
      </c>
      <c r="I229" s="8" t="n">
        <v>2691</v>
      </c>
      <c r="J229" s="8" t="n">
        <v>0.674</v>
      </c>
      <c r="K229" s="8" t="n">
        <v>1.72</v>
      </c>
      <c r="L229" s="8" t="n">
        <v>52.8</v>
      </c>
      <c r="M229" s="8" t="n">
        <v>63.5</v>
      </c>
      <c r="N229" s="8" t="s">
        <v>212</v>
      </c>
      <c r="O229" s="9" t="s">
        <v>124</v>
      </c>
    </row>
    <row r="230" customFormat="false" ht="15" hidden="false" customHeight="false" outlineLevel="0" collapsed="false">
      <c r="A230" s="8" t="s">
        <v>310</v>
      </c>
      <c r="B230" s="8" t="s">
        <v>311</v>
      </c>
      <c r="C230" s="8" t="s">
        <v>19</v>
      </c>
      <c r="D230" s="8" t="s">
        <v>20</v>
      </c>
      <c r="E230" s="8" t="s">
        <v>21</v>
      </c>
      <c r="F230" s="8" t="n">
        <v>35.2</v>
      </c>
      <c r="G230" s="8" t="n">
        <v>4.36</v>
      </c>
      <c r="H230" s="8" t="n">
        <v>0.753</v>
      </c>
      <c r="I230" s="8" t="n">
        <v>2857</v>
      </c>
      <c r="J230" s="8" t="n">
        <v>0.803</v>
      </c>
      <c r="K230" s="8" t="n">
        <v>2.12</v>
      </c>
      <c r="L230" s="8" t="n">
        <v>66.2</v>
      </c>
      <c r="M230" s="8" t="n">
        <v>64.6</v>
      </c>
      <c r="N230" s="8" t="s">
        <v>224</v>
      </c>
      <c r="O230" s="9" t="s">
        <v>124</v>
      </c>
    </row>
    <row r="231" customFormat="false" ht="15" hidden="false" customHeight="false" outlineLevel="0" collapsed="false">
      <c r="A231" s="8" t="s">
        <v>312</v>
      </c>
      <c r="B231" s="8" t="s">
        <v>311</v>
      </c>
      <c r="C231" s="8" t="s">
        <v>25</v>
      </c>
      <c r="D231" s="8" t="s">
        <v>26</v>
      </c>
      <c r="E231" s="8" t="s">
        <v>21</v>
      </c>
      <c r="F231" s="8" t="n">
        <v>35</v>
      </c>
      <c r="G231" s="8" t="n">
        <v>4.908</v>
      </c>
      <c r="H231" s="8" t="n">
        <v>0.71</v>
      </c>
      <c r="I231" s="8" t="n">
        <v>2777</v>
      </c>
      <c r="J231" s="8" t="n">
        <v>0.834</v>
      </c>
      <c r="K231" s="8" t="n">
        <v>1.54</v>
      </c>
      <c r="L231" s="8" t="n">
        <v>62.9</v>
      </c>
      <c r="M231" s="8" t="n">
        <v>65.9</v>
      </c>
      <c r="N231" s="8" t="s">
        <v>313</v>
      </c>
      <c r="O231" s="9" t="s">
        <v>124</v>
      </c>
    </row>
    <row r="232" customFormat="false" ht="15" hidden="false" customHeight="false" outlineLevel="0" collapsed="false">
      <c r="A232" s="6" t="s">
        <v>314</v>
      </c>
      <c r="B232" s="6" t="s">
        <v>311</v>
      </c>
      <c r="C232" s="6" t="s">
        <v>28</v>
      </c>
      <c r="D232" s="6" t="s">
        <v>29</v>
      </c>
      <c r="E232" s="6" t="s">
        <v>21</v>
      </c>
      <c r="F232" s="6" t="n">
        <v>31.1</v>
      </c>
      <c r="G232" s="6" t="n">
        <v>4.686</v>
      </c>
      <c r="H232" s="6" t="n">
        <v>0.82</v>
      </c>
      <c r="I232" s="6" t="n">
        <v>2853</v>
      </c>
      <c r="J232" s="6" t="n">
        <v>0.836</v>
      </c>
      <c r="K232" s="6" t="n">
        <v>2.02</v>
      </c>
      <c r="L232" s="6" t="n">
        <v>55.6</v>
      </c>
      <c r="M232" s="6" t="n">
        <v>62.6</v>
      </c>
      <c r="N232" s="6" t="s">
        <v>22</v>
      </c>
      <c r="O232" s="7" t="s">
        <v>23</v>
      </c>
    </row>
    <row r="233" customFormat="false" ht="15" hidden="false" customHeight="false" outlineLevel="0" collapsed="false">
      <c r="A233" s="8" t="s">
        <v>315</v>
      </c>
      <c r="B233" s="8" t="s">
        <v>311</v>
      </c>
      <c r="C233" s="8" t="s">
        <v>19</v>
      </c>
      <c r="D233" s="8" t="s">
        <v>31</v>
      </c>
      <c r="E233" s="8" t="s">
        <v>21</v>
      </c>
      <c r="F233" s="8" t="n">
        <v>33</v>
      </c>
      <c r="G233" s="8" t="n">
        <v>4.761</v>
      </c>
      <c r="H233" s="8" t="n">
        <v>0.746</v>
      </c>
      <c r="I233" s="8" t="n">
        <v>2783</v>
      </c>
      <c r="J233" s="8" t="n">
        <v>0.794</v>
      </c>
      <c r="K233" s="8" t="n">
        <v>1.58</v>
      </c>
      <c r="L233" s="8" t="n">
        <v>64.1</v>
      </c>
      <c r="M233" s="8" t="n">
        <v>64.3</v>
      </c>
      <c r="N233" s="8" t="s">
        <v>224</v>
      </c>
      <c r="O233" s="9" t="s">
        <v>124</v>
      </c>
    </row>
    <row r="234" customFormat="false" ht="15" hidden="false" customHeight="false" outlineLevel="0" collapsed="false">
      <c r="A234" s="8" t="s">
        <v>316</v>
      </c>
      <c r="B234" s="8" t="s">
        <v>311</v>
      </c>
      <c r="C234" s="8" t="s">
        <v>25</v>
      </c>
      <c r="D234" s="8" t="s">
        <v>33</v>
      </c>
      <c r="E234" s="8" t="s">
        <v>21</v>
      </c>
      <c r="F234" s="8" t="n">
        <v>31.8</v>
      </c>
      <c r="G234" s="8" t="n">
        <v>4.688</v>
      </c>
      <c r="H234" s="8" t="n">
        <v>0.756</v>
      </c>
      <c r="I234" s="8" t="n">
        <v>2825</v>
      </c>
      <c r="J234" s="8" t="n">
        <v>0.874</v>
      </c>
      <c r="K234" s="8" t="n">
        <v>1.26</v>
      </c>
      <c r="L234" s="8" t="n">
        <v>64</v>
      </c>
      <c r="M234" s="8" t="n">
        <v>63</v>
      </c>
      <c r="N234" s="8" t="s">
        <v>224</v>
      </c>
      <c r="O234" s="9" t="s">
        <v>124</v>
      </c>
    </row>
    <row r="235" customFormat="false" ht="15" hidden="false" customHeight="false" outlineLevel="0" collapsed="false">
      <c r="A235" s="4" t="s">
        <v>317</v>
      </c>
      <c r="B235" s="4" t="s">
        <v>318</v>
      </c>
      <c r="C235" s="4" t="s">
        <v>28</v>
      </c>
      <c r="D235" s="4" t="s">
        <v>20</v>
      </c>
      <c r="E235" s="4" t="s">
        <v>36</v>
      </c>
      <c r="F235" s="4" t="n">
        <v>30.7</v>
      </c>
      <c r="G235" s="4" t="n">
        <v>4.416</v>
      </c>
      <c r="H235" s="4" t="n">
        <v>0.819</v>
      </c>
      <c r="I235" s="4" t="n">
        <v>2777</v>
      </c>
      <c r="J235" s="4" t="n">
        <v>0.879</v>
      </c>
      <c r="K235" s="4" t="n">
        <v>2.15</v>
      </c>
      <c r="L235" s="4" t="n">
        <v>56.6</v>
      </c>
      <c r="M235" s="4" t="n">
        <v>65.5</v>
      </c>
      <c r="N235" s="4" t="s">
        <v>22</v>
      </c>
      <c r="O235" s="5" t="s">
        <v>23</v>
      </c>
    </row>
    <row r="236" customFormat="false" ht="15" hidden="false" customHeight="false" outlineLevel="0" collapsed="false">
      <c r="A236" s="6" t="s">
        <v>319</v>
      </c>
      <c r="B236" s="6" t="s">
        <v>318</v>
      </c>
      <c r="C236" s="6" t="s">
        <v>19</v>
      </c>
      <c r="D236" s="6" t="s">
        <v>26</v>
      </c>
      <c r="E236" s="6" t="s">
        <v>36</v>
      </c>
      <c r="F236" s="6" t="n">
        <v>32</v>
      </c>
      <c r="G236" s="6" t="n">
        <v>4.662</v>
      </c>
      <c r="H236" s="6" t="n">
        <v>0.809</v>
      </c>
      <c r="I236" s="6" t="n">
        <v>2796</v>
      </c>
      <c r="J236" s="6" t="n">
        <v>0.857</v>
      </c>
      <c r="K236" s="6" t="n">
        <v>2.08</v>
      </c>
      <c r="L236" s="6" t="n">
        <v>54.4</v>
      </c>
      <c r="M236" s="6" t="n">
        <v>67.1</v>
      </c>
      <c r="N236" s="6" t="s">
        <v>22</v>
      </c>
      <c r="O236" s="7" t="s">
        <v>23</v>
      </c>
    </row>
    <row r="237" customFormat="false" ht="15" hidden="false" customHeight="false" outlineLevel="0" collapsed="false">
      <c r="A237" s="4" t="s">
        <v>320</v>
      </c>
      <c r="B237" s="4" t="s">
        <v>318</v>
      </c>
      <c r="C237" s="4" t="s">
        <v>25</v>
      </c>
      <c r="D237" s="4" t="s">
        <v>29</v>
      </c>
      <c r="E237" s="4" t="s">
        <v>36</v>
      </c>
      <c r="F237" s="4" t="n">
        <v>35.1</v>
      </c>
      <c r="G237" s="4" t="n">
        <v>4.51</v>
      </c>
      <c r="H237" s="4" t="n">
        <v>0.815</v>
      </c>
      <c r="I237" s="4" t="n">
        <v>2849</v>
      </c>
      <c r="J237" s="4" t="n">
        <v>0.86</v>
      </c>
      <c r="K237" s="4" t="n">
        <v>1.7</v>
      </c>
      <c r="L237" s="4" t="n">
        <v>58.9</v>
      </c>
      <c r="M237" s="4" t="n">
        <v>67.1</v>
      </c>
      <c r="N237" s="4" t="s">
        <v>22</v>
      </c>
      <c r="O237" s="5" t="s">
        <v>23</v>
      </c>
    </row>
    <row r="238" customFormat="false" ht="15" hidden="false" customHeight="false" outlineLevel="0" collapsed="false">
      <c r="A238" s="8" t="s">
        <v>321</v>
      </c>
      <c r="B238" s="8" t="s">
        <v>318</v>
      </c>
      <c r="C238" s="8" t="s">
        <v>28</v>
      </c>
      <c r="D238" s="8" t="s">
        <v>31</v>
      </c>
      <c r="E238" s="8" t="s">
        <v>36</v>
      </c>
      <c r="F238" s="8" t="n">
        <v>33.4</v>
      </c>
      <c r="G238" s="8" t="n">
        <v>4.864</v>
      </c>
      <c r="H238" s="8" t="n">
        <v>0.942</v>
      </c>
      <c r="I238" s="8" t="n">
        <v>2777</v>
      </c>
      <c r="J238" s="8" t="n">
        <v>0.929</v>
      </c>
      <c r="K238" s="8" t="n">
        <v>1.26</v>
      </c>
      <c r="L238" s="8" t="n">
        <v>65.7</v>
      </c>
      <c r="M238" s="8" t="n">
        <v>64.3</v>
      </c>
      <c r="N238" s="8" t="s">
        <v>322</v>
      </c>
      <c r="O238" s="9" t="s">
        <v>124</v>
      </c>
    </row>
    <row r="239" customFormat="false" ht="15" hidden="false" customHeight="false" outlineLevel="0" collapsed="false">
      <c r="A239" s="8" t="s">
        <v>323</v>
      </c>
      <c r="B239" s="8" t="s">
        <v>318</v>
      </c>
      <c r="C239" s="8" t="s">
        <v>19</v>
      </c>
      <c r="D239" s="8" t="s">
        <v>33</v>
      </c>
      <c r="E239" s="8" t="s">
        <v>36</v>
      </c>
      <c r="F239" s="8" t="n">
        <v>31.5</v>
      </c>
      <c r="G239" s="8" t="n">
        <v>4.787</v>
      </c>
      <c r="H239" s="8" t="n">
        <v>0.851</v>
      </c>
      <c r="I239" s="8" t="n">
        <v>2873</v>
      </c>
      <c r="J239" s="8" t="n">
        <v>0.832</v>
      </c>
      <c r="K239" s="8" t="n">
        <v>1.83</v>
      </c>
      <c r="L239" s="8" t="n">
        <v>60.8</v>
      </c>
      <c r="M239" s="8" t="n">
        <v>63.5</v>
      </c>
      <c r="N239" s="8" t="s">
        <v>324</v>
      </c>
      <c r="O239" s="9" t="s">
        <v>124</v>
      </c>
    </row>
    <row r="240" customFormat="false" ht="15" hidden="false" customHeight="false" outlineLevel="0" collapsed="false">
      <c r="A240" s="8" t="s">
        <v>325</v>
      </c>
      <c r="B240" s="8" t="s">
        <v>326</v>
      </c>
      <c r="C240" s="8" t="s">
        <v>25</v>
      </c>
      <c r="D240" s="8" t="s">
        <v>20</v>
      </c>
      <c r="E240" s="8" t="s">
        <v>43</v>
      </c>
      <c r="F240" s="8" t="n">
        <v>30.5</v>
      </c>
      <c r="G240" s="8" t="n">
        <v>5.17</v>
      </c>
      <c r="H240" s="8" t="n">
        <v>0.773</v>
      </c>
      <c r="I240" s="8" t="n">
        <v>2819</v>
      </c>
      <c r="J240" s="8" t="n">
        <v>0.876</v>
      </c>
      <c r="K240" s="8" t="n">
        <v>1.9</v>
      </c>
      <c r="L240" s="8" t="n">
        <v>57.1</v>
      </c>
      <c r="M240" s="8" t="n">
        <v>62.5</v>
      </c>
      <c r="N240" s="8" t="s">
        <v>327</v>
      </c>
      <c r="O240" s="9" t="s">
        <v>124</v>
      </c>
    </row>
    <row r="241" customFormat="false" ht="15" hidden="false" customHeight="false" outlineLevel="0" collapsed="false">
      <c r="A241" s="8" t="s">
        <v>328</v>
      </c>
      <c r="B241" s="8" t="s">
        <v>326</v>
      </c>
      <c r="C241" s="8" t="s">
        <v>28</v>
      </c>
      <c r="D241" s="8" t="s">
        <v>26</v>
      </c>
      <c r="E241" s="8" t="s">
        <v>43</v>
      </c>
      <c r="F241" s="8" t="n">
        <v>32.4</v>
      </c>
      <c r="G241" s="8" t="n">
        <v>4.804</v>
      </c>
      <c r="H241" s="8" t="n">
        <v>0.767</v>
      </c>
      <c r="I241" s="8" t="n">
        <v>2815</v>
      </c>
      <c r="J241" s="8" t="n">
        <v>0.901</v>
      </c>
      <c r="K241" s="8" t="n">
        <v>1.63</v>
      </c>
      <c r="L241" s="8" t="n">
        <v>67.7</v>
      </c>
      <c r="M241" s="8" t="n">
        <v>66.9</v>
      </c>
      <c r="N241" s="8" t="s">
        <v>313</v>
      </c>
      <c r="O241" s="9" t="s">
        <v>124</v>
      </c>
    </row>
    <row r="242" customFormat="false" ht="15" hidden="false" customHeight="false" outlineLevel="0" collapsed="false">
      <c r="A242" s="8" t="s">
        <v>329</v>
      </c>
      <c r="B242" s="8" t="s">
        <v>326</v>
      </c>
      <c r="C242" s="8" t="s">
        <v>19</v>
      </c>
      <c r="D242" s="8" t="s">
        <v>29</v>
      </c>
      <c r="E242" s="8" t="s">
        <v>43</v>
      </c>
      <c r="F242" s="8" t="n">
        <v>34.1</v>
      </c>
      <c r="G242" s="8" t="n">
        <v>4.573</v>
      </c>
      <c r="H242" s="8" t="n">
        <v>0.72</v>
      </c>
      <c r="I242" s="8" t="n">
        <v>2835</v>
      </c>
      <c r="J242" s="8" t="n">
        <v>0.765</v>
      </c>
      <c r="K242" s="8" t="n">
        <v>2.13</v>
      </c>
      <c r="L242" s="8" t="n">
        <v>63.1</v>
      </c>
      <c r="M242" s="8" t="n">
        <v>65.3</v>
      </c>
      <c r="N242" s="8" t="s">
        <v>224</v>
      </c>
      <c r="O242" s="9" t="s">
        <v>124</v>
      </c>
    </row>
    <row r="243" customFormat="false" ht="15" hidden="false" customHeight="false" outlineLevel="0" collapsed="false">
      <c r="A243" s="8" t="s">
        <v>330</v>
      </c>
      <c r="B243" s="8" t="s">
        <v>326</v>
      </c>
      <c r="C243" s="8" t="s">
        <v>25</v>
      </c>
      <c r="D243" s="8" t="s">
        <v>31</v>
      </c>
      <c r="E243" s="8" t="s">
        <v>43</v>
      </c>
      <c r="F243" s="8" t="n">
        <v>32.6</v>
      </c>
      <c r="G243" s="8" t="n">
        <v>4.87</v>
      </c>
      <c r="H243" s="8" t="n">
        <v>0.89</v>
      </c>
      <c r="I243" s="8" t="n">
        <v>2896</v>
      </c>
      <c r="J243" s="8" t="n">
        <v>0.832</v>
      </c>
      <c r="K243" s="8" t="n">
        <v>2.36</v>
      </c>
      <c r="L243" s="8" t="n">
        <v>62.8</v>
      </c>
      <c r="M243" s="8" t="n">
        <v>67.4</v>
      </c>
      <c r="N243" s="8" t="s">
        <v>322</v>
      </c>
      <c r="O243" s="9" t="s">
        <v>124</v>
      </c>
    </row>
    <row r="244" customFormat="false" ht="15" hidden="false" customHeight="false" outlineLevel="0" collapsed="false">
      <c r="A244" s="8" t="s">
        <v>331</v>
      </c>
      <c r="B244" s="8" t="s">
        <v>326</v>
      </c>
      <c r="C244" s="8" t="s">
        <v>28</v>
      </c>
      <c r="D244" s="8" t="s">
        <v>33</v>
      </c>
      <c r="E244" s="8" t="s">
        <v>43</v>
      </c>
      <c r="F244" s="8" t="n">
        <v>29.5</v>
      </c>
      <c r="G244" s="8" t="n">
        <v>5.155</v>
      </c>
      <c r="H244" s="8" t="n">
        <v>0.719</v>
      </c>
      <c r="I244" s="8" t="n">
        <v>2821</v>
      </c>
      <c r="J244" s="8" t="n">
        <v>0.87</v>
      </c>
      <c r="K244" s="8" t="n">
        <v>2.02</v>
      </c>
      <c r="L244" s="8" t="n">
        <v>61.1</v>
      </c>
      <c r="M244" s="8" t="n">
        <v>62.5</v>
      </c>
      <c r="N244" s="8" t="s">
        <v>313</v>
      </c>
      <c r="O244" s="9" t="s">
        <v>124</v>
      </c>
    </row>
    <row r="245" customFormat="false" ht="15" hidden="false" customHeight="false" outlineLevel="0" collapsed="false">
      <c r="A245" s="4" t="s">
        <v>332</v>
      </c>
      <c r="B245" s="4" t="s">
        <v>333</v>
      </c>
      <c r="C245" s="4" t="s">
        <v>19</v>
      </c>
      <c r="D245" s="4" t="s">
        <v>20</v>
      </c>
      <c r="E245" s="4" t="s">
        <v>21</v>
      </c>
      <c r="F245" s="4" t="n">
        <v>31.1</v>
      </c>
      <c r="G245" s="4" t="n">
        <v>4.494</v>
      </c>
      <c r="H245" s="4" t="n">
        <v>0.811</v>
      </c>
      <c r="I245" s="4" t="n">
        <v>2719</v>
      </c>
      <c r="J245" s="4" t="n">
        <v>0.853</v>
      </c>
      <c r="K245" s="4" t="n">
        <v>2.19</v>
      </c>
      <c r="L245" s="4" t="n">
        <v>59.5</v>
      </c>
      <c r="M245" s="4" t="n">
        <v>60.5</v>
      </c>
      <c r="N245" s="4" t="s">
        <v>22</v>
      </c>
      <c r="O245" s="5" t="s">
        <v>23</v>
      </c>
    </row>
    <row r="246" customFormat="false" ht="15" hidden="false" customHeight="false" outlineLevel="0" collapsed="false">
      <c r="A246" s="8" t="s">
        <v>334</v>
      </c>
      <c r="B246" s="8" t="s">
        <v>333</v>
      </c>
      <c r="C246" s="8" t="s">
        <v>25</v>
      </c>
      <c r="D246" s="8" t="s">
        <v>26</v>
      </c>
      <c r="E246" s="8" t="s">
        <v>21</v>
      </c>
      <c r="F246" s="8" t="n">
        <v>30.6</v>
      </c>
      <c r="G246" s="8" t="n">
        <v>4.597</v>
      </c>
      <c r="H246" s="8" t="n">
        <v>0.784</v>
      </c>
      <c r="I246" s="8" t="n">
        <v>2767</v>
      </c>
      <c r="J246" s="8" t="n">
        <v>0.787</v>
      </c>
      <c r="K246" s="8" t="n">
        <v>2.16</v>
      </c>
      <c r="L246" s="8" t="n">
        <v>65.1</v>
      </c>
      <c r="M246" s="8" t="n">
        <v>65.3</v>
      </c>
      <c r="N246" s="8" t="s">
        <v>224</v>
      </c>
      <c r="O246" s="9" t="s">
        <v>124</v>
      </c>
    </row>
    <row r="247" customFormat="false" ht="15" hidden="false" customHeight="false" outlineLevel="0" collapsed="false">
      <c r="A247" s="8" t="s">
        <v>335</v>
      </c>
      <c r="B247" s="8" t="s">
        <v>333</v>
      </c>
      <c r="C247" s="8" t="s">
        <v>28</v>
      </c>
      <c r="D247" s="8" t="s">
        <v>29</v>
      </c>
      <c r="E247" s="8" t="s">
        <v>21</v>
      </c>
      <c r="F247" s="8" t="n">
        <v>28.7</v>
      </c>
      <c r="G247" s="8" t="n">
        <v>4.763</v>
      </c>
      <c r="H247" s="8" t="n">
        <v>0.826</v>
      </c>
      <c r="I247" s="8" t="n">
        <v>2906</v>
      </c>
      <c r="J247" s="8" t="n">
        <v>0.743</v>
      </c>
      <c r="K247" s="8" t="n">
        <v>2.23</v>
      </c>
      <c r="L247" s="8" t="n">
        <v>61.8</v>
      </c>
      <c r="M247" s="8" t="n">
        <v>65.9</v>
      </c>
      <c r="N247" s="8" t="s">
        <v>285</v>
      </c>
      <c r="O247" s="9" t="s">
        <v>124</v>
      </c>
    </row>
    <row r="248" customFormat="false" ht="15" hidden="false" customHeight="false" outlineLevel="0" collapsed="false">
      <c r="A248" s="8" t="s">
        <v>336</v>
      </c>
      <c r="B248" s="8" t="s">
        <v>333</v>
      </c>
      <c r="C248" s="8" t="s">
        <v>19</v>
      </c>
      <c r="D248" s="8" t="s">
        <v>31</v>
      </c>
      <c r="E248" s="8" t="s">
        <v>21</v>
      </c>
      <c r="F248" s="8" t="n">
        <v>28.4</v>
      </c>
      <c r="G248" s="8" t="n">
        <v>4.792</v>
      </c>
      <c r="H248" s="8" t="n">
        <v>0.778</v>
      </c>
      <c r="I248" s="8" t="n">
        <v>2753</v>
      </c>
      <c r="J248" s="8" t="n">
        <v>0.853</v>
      </c>
      <c r="K248" s="8" t="n">
        <v>2.23</v>
      </c>
      <c r="L248" s="8" t="n">
        <v>60.8</v>
      </c>
      <c r="M248" s="8" t="n">
        <v>64.4</v>
      </c>
      <c r="N248" s="8" t="s">
        <v>224</v>
      </c>
      <c r="O248" s="9" t="s">
        <v>124</v>
      </c>
    </row>
    <row r="249" customFormat="false" ht="15" hidden="false" customHeight="false" outlineLevel="0" collapsed="false">
      <c r="A249" s="8" t="s">
        <v>337</v>
      </c>
      <c r="B249" s="8" t="s">
        <v>333</v>
      </c>
      <c r="C249" s="8" t="s">
        <v>25</v>
      </c>
      <c r="D249" s="8" t="s">
        <v>33</v>
      </c>
      <c r="E249" s="8" t="s">
        <v>21</v>
      </c>
      <c r="F249" s="8" t="n">
        <v>34.8</v>
      </c>
      <c r="G249" s="8" t="n">
        <v>4.243</v>
      </c>
      <c r="H249" s="8" t="n">
        <v>0.91</v>
      </c>
      <c r="I249" s="8" t="n">
        <v>2844</v>
      </c>
      <c r="J249" s="8" t="n">
        <v>0.841</v>
      </c>
      <c r="K249" s="8" t="n">
        <v>2.25</v>
      </c>
      <c r="L249" s="8" t="n">
        <v>59.4</v>
      </c>
      <c r="M249" s="8" t="n">
        <v>65.5</v>
      </c>
      <c r="N249" s="8" t="s">
        <v>338</v>
      </c>
      <c r="O249" s="9" t="s">
        <v>124</v>
      </c>
    </row>
    <row r="250" customFormat="false" ht="15" hidden="false" customHeight="false" outlineLevel="0" collapsed="false">
      <c r="A250" s="8" t="s">
        <v>339</v>
      </c>
      <c r="B250" s="8" t="s">
        <v>340</v>
      </c>
      <c r="C250" s="8" t="s">
        <v>28</v>
      </c>
      <c r="D250" s="8" t="s">
        <v>20</v>
      </c>
      <c r="E250" s="8" t="s">
        <v>36</v>
      </c>
      <c r="F250" s="8" t="n">
        <v>29.4</v>
      </c>
      <c r="G250" s="8" t="n">
        <v>4.707</v>
      </c>
      <c r="H250" s="8" t="n">
        <v>0.781</v>
      </c>
      <c r="I250" s="8" t="n">
        <v>2784</v>
      </c>
      <c r="J250" s="8" t="n">
        <v>0.801</v>
      </c>
      <c r="K250" s="8" t="n">
        <v>1.85</v>
      </c>
      <c r="L250" s="8" t="n">
        <v>67.8</v>
      </c>
      <c r="M250" s="8" t="n">
        <v>64.3</v>
      </c>
      <c r="N250" s="8" t="s">
        <v>224</v>
      </c>
      <c r="O250" s="9" t="s">
        <v>124</v>
      </c>
    </row>
    <row r="251" customFormat="false" ht="15" hidden="false" customHeight="false" outlineLevel="0" collapsed="false">
      <c r="A251" s="8" t="s">
        <v>341</v>
      </c>
      <c r="B251" s="8" t="s">
        <v>340</v>
      </c>
      <c r="C251" s="8" t="s">
        <v>19</v>
      </c>
      <c r="D251" s="8" t="s">
        <v>26</v>
      </c>
      <c r="E251" s="8" t="s">
        <v>36</v>
      </c>
      <c r="F251" s="8" t="n">
        <v>31.5</v>
      </c>
      <c r="G251" s="8" t="n">
        <v>4.372</v>
      </c>
      <c r="H251" s="8" t="n">
        <v>0.763</v>
      </c>
      <c r="I251" s="8" t="n">
        <v>2846</v>
      </c>
      <c r="J251" s="8" t="n">
        <v>0.784</v>
      </c>
      <c r="K251" s="8" t="n">
        <v>1.99</v>
      </c>
      <c r="L251" s="8" t="n">
        <v>61.5</v>
      </c>
      <c r="M251" s="8" t="n">
        <v>65.2</v>
      </c>
      <c r="N251" s="8" t="s">
        <v>224</v>
      </c>
      <c r="O251" s="9" t="s">
        <v>124</v>
      </c>
    </row>
    <row r="252" customFormat="false" ht="15" hidden="false" customHeight="false" outlineLevel="0" collapsed="false">
      <c r="A252" s="6" t="s">
        <v>342</v>
      </c>
      <c r="B252" s="6" t="s">
        <v>340</v>
      </c>
      <c r="C252" s="6" t="s">
        <v>25</v>
      </c>
      <c r="D252" s="6" t="s">
        <v>29</v>
      </c>
      <c r="E252" s="6" t="s">
        <v>36</v>
      </c>
      <c r="F252" s="6" t="n">
        <v>33.6</v>
      </c>
      <c r="G252" s="6" t="n">
        <v>4.284</v>
      </c>
      <c r="H252" s="6" t="n">
        <v>0.827</v>
      </c>
      <c r="I252" s="6" t="n">
        <v>2762</v>
      </c>
      <c r="J252" s="6" t="n">
        <v>0.877</v>
      </c>
      <c r="K252" s="6" t="n">
        <v>1.78</v>
      </c>
      <c r="L252" s="6" t="n">
        <v>57.4</v>
      </c>
      <c r="M252" s="6" t="n">
        <v>62.6</v>
      </c>
      <c r="N252" s="6" t="s">
        <v>22</v>
      </c>
      <c r="O252" s="7" t="s">
        <v>23</v>
      </c>
    </row>
    <row r="253" customFormat="false" ht="15" hidden="false" customHeight="false" outlineLevel="0" collapsed="false">
      <c r="A253" s="8" t="s">
        <v>343</v>
      </c>
      <c r="B253" s="8" t="s">
        <v>340</v>
      </c>
      <c r="C253" s="8" t="s">
        <v>28</v>
      </c>
      <c r="D253" s="8" t="s">
        <v>31</v>
      </c>
      <c r="E253" s="8" t="s">
        <v>36</v>
      </c>
      <c r="F253" s="8" t="n">
        <v>38.7</v>
      </c>
      <c r="G253" s="8" t="n">
        <v>4.576</v>
      </c>
      <c r="H253" s="8" t="n">
        <v>0.781</v>
      </c>
      <c r="I253" s="8" t="n">
        <v>2786</v>
      </c>
      <c r="J253" s="8" t="n">
        <v>0.829</v>
      </c>
      <c r="K253" s="8" t="n">
        <v>2.03</v>
      </c>
      <c r="L253" s="8" t="n">
        <v>63.8</v>
      </c>
      <c r="M253" s="8" t="n">
        <v>67.5</v>
      </c>
      <c r="N253" s="8" t="s">
        <v>224</v>
      </c>
      <c r="O253" s="9" t="s">
        <v>124</v>
      </c>
    </row>
    <row r="254" customFormat="false" ht="15" hidden="false" customHeight="false" outlineLevel="0" collapsed="false">
      <c r="A254" s="8" t="s">
        <v>344</v>
      </c>
      <c r="B254" s="8" t="s">
        <v>340</v>
      </c>
      <c r="C254" s="8" t="s">
        <v>19</v>
      </c>
      <c r="D254" s="8" t="s">
        <v>33</v>
      </c>
      <c r="E254" s="8" t="s">
        <v>36</v>
      </c>
      <c r="F254" s="8" t="n">
        <v>32.6</v>
      </c>
      <c r="G254" s="8" t="n">
        <v>4.53</v>
      </c>
      <c r="H254" s="8" t="n">
        <v>0.728</v>
      </c>
      <c r="I254" s="8" t="n">
        <v>2785</v>
      </c>
      <c r="J254" s="8" t="n">
        <v>0.838</v>
      </c>
      <c r="K254" s="8" t="n">
        <v>1.46</v>
      </c>
      <c r="L254" s="8" t="n">
        <v>63.6</v>
      </c>
      <c r="M254" s="8" t="n">
        <v>66.9</v>
      </c>
      <c r="N254" s="8" t="s">
        <v>224</v>
      </c>
      <c r="O254" s="9" t="s">
        <v>124</v>
      </c>
    </row>
    <row r="255" customFormat="false" ht="15" hidden="false" customHeight="false" outlineLevel="0" collapsed="false">
      <c r="A255" s="8" t="s">
        <v>345</v>
      </c>
      <c r="B255" s="8" t="s">
        <v>346</v>
      </c>
      <c r="C255" s="8" t="s">
        <v>25</v>
      </c>
      <c r="D255" s="8" t="s">
        <v>20</v>
      </c>
      <c r="E255" s="8" t="s">
        <v>43</v>
      </c>
      <c r="F255" s="8" t="n">
        <v>32.9</v>
      </c>
      <c r="G255" s="8" t="n">
        <v>4.585</v>
      </c>
      <c r="H255" s="8" t="n">
        <v>0.76</v>
      </c>
      <c r="I255" s="8" t="n">
        <v>2719</v>
      </c>
      <c r="J255" s="8" t="n">
        <v>0.794</v>
      </c>
      <c r="K255" s="8" t="n">
        <v>2.33</v>
      </c>
      <c r="L255" s="8" t="n">
        <v>64.3</v>
      </c>
      <c r="M255" s="8" t="n">
        <v>63.8</v>
      </c>
      <c r="N255" s="8" t="s">
        <v>224</v>
      </c>
      <c r="O255" s="9" t="s">
        <v>124</v>
      </c>
    </row>
    <row r="256" customFormat="false" ht="15" hidden="false" customHeight="false" outlineLevel="0" collapsed="false">
      <c r="A256" s="8" t="s">
        <v>347</v>
      </c>
      <c r="B256" s="8" t="s">
        <v>346</v>
      </c>
      <c r="C256" s="8" t="s">
        <v>28</v>
      </c>
      <c r="D256" s="8" t="s">
        <v>26</v>
      </c>
      <c r="E256" s="8" t="s">
        <v>43</v>
      </c>
      <c r="F256" s="8" t="n">
        <v>32.7</v>
      </c>
      <c r="G256" s="8" t="n">
        <v>4.9</v>
      </c>
      <c r="H256" s="8" t="n">
        <v>0.836</v>
      </c>
      <c r="I256" s="8" t="n">
        <v>2778</v>
      </c>
      <c r="J256" s="8" t="n">
        <v>0.77</v>
      </c>
      <c r="K256" s="8" t="n">
        <v>1.84</v>
      </c>
      <c r="L256" s="8" t="n">
        <v>63.6</v>
      </c>
      <c r="M256" s="8" t="n">
        <v>66.2</v>
      </c>
      <c r="N256" s="8" t="s">
        <v>313</v>
      </c>
      <c r="O256" s="9" t="s">
        <v>124</v>
      </c>
    </row>
    <row r="257" customFormat="false" ht="15" hidden="false" customHeight="false" outlineLevel="0" collapsed="false">
      <c r="A257" s="4" t="s">
        <v>348</v>
      </c>
      <c r="B257" s="4" t="s">
        <v>346</v>
      </c>
      <c r="C257" s="4" t="s">
        <v>19</v>
      </c>
      <c r="D257" s="4" t="s">
        <v>29</v>
      </c>
      <c r="E257" s="4" t="s">
        <v>43</v>
      </c>
      <c r="F257" s="4" t="n">
        <v>31.9</v>
      </c>
      <c r="G257" s="4" t="n">
        <v>4.565</v>
      </c>
      <c r="H257" s="4" t="n">
        <v>0.615</v>
      </c>
      <c r="I257" s="4" t="n">
        <v>2869</v>
      </c>
      <c r="J257" s="4" t="n">
        <v>0.815</v>
      </c>
      <c r="K257" s="4" t="n">
        <v>1.4</v>
      </c>
      <c r="L257" s="4" t="n">
        <v>53.9</v>
      </c>
      <c r="M257" s="4" t="n">
        <v>64.5</v>
      </c>
      <c r="N257" s="4" t="s">
        <v>22</v>
      </c>
      <c r="O257" s="5" t="s">
        <v>23</v>
      </c>
    </row>
    <row r="258" customFormat="false" ht="15" hidden="false" customHeight="false" outlineLevel="0" collapsed="false">
      <c r="A258" s="8" t="s">
        <v>349</v>
      </c>
      <c r="B258" s="8" t="s">
        <v>346</v>
      </c>
      <c r="C258" s="8" t="s">
        <v>25</v>
      </c>
      <c r="D258" s="8" t="s">
        <v>31</v>
      </c>
      <c r="E258" s="8" t="s">
        <v>43</v>
      </c>
      <c r="F258" s="8" t="n">
        <v>29.5</v>
      </c>
      <c r="G258" s="8" t="n">
        <v>4.297</v>
      </c>
      <c r="H258" s="8" t="n">
        <v>0.774</v>
      </c>
      <c r="I258" s="8" t="n">
        <v>2781</v>
      </c>
      <c r="J258" s="8" t="n">
        <v>0.875</v>
      </c>
      <c r="K258" s="8" t="n">
        <v>1.9</v>
      </c>
      <c r="L258" s="8" t="n">
        <v>64.8</v>
      </c>
      <c r="M258" s="8" t="n">
        <v>65.6</v>
      </c>
      <c r="N258" s="8" t="s">
        <v>224</v>
      </c>
      <c r="O258" s="9" t="s">
        <v>124</v>
      </c>
    </row>
    <row r="259" customFormat="false" ht="15" hidden="false" customHeight="false" outlineLevel="0" collapsed="false">
      <c r="A259" s="8" t="s">
        <v>350</v>
      </c>
      <c r="B259" s="8" t="s">
        <v>346</v>
      </c>
      <c r="C259" s="8" t="s">
        <v>28</v>
      </c>
      <c r="D259" s="8" t="s">
        <v>33</v>
      </c>
      <c r="E259" s="8" t="s">
        <v>43</v>
      </c>
      <c r="F259" s="8" t="n">
        <v>33.5</v>
      </c>
      <c r="G259" s="8" t="n">
        <v>4.885</v>
      </c>
      <c r="H259" s="8" t="n">
        <v>0.906</v>
      </c>
      <c r="I259" s="8" t="n">
        <v>2826</v>
      </c>
      <c r="J259" s="8" t="n">
        <v>0.803</v>
      </c>
      <c r="K259" s="8" t="n">
        <v>1.72</v>
      </c>
      <c r="L259" s="8" t="n">
        <v>61.2</v>
      </c>
      <c r="M259" s="8" t="n">
        <v>64.8</v>
      </c>
      <c r="N259" s="8" t="s">
        <v>322</v>
      </c>
      <c r="O259" s="9" t="s">
        <v>124</v>
      </c>
    </row>
    <row r="260" customFormat="false" ht="15" hidden="false" customHeight="false" outlineLevel="0" collapsed="false">
      <c r="A260" s="8" t="s">
        <v>351</v>
      </c>
      <c r="B260" s="8" t="s">
        <v>352</v>
      </c>
      <c r="C260" s="8" t="s">
        <v>19</v>
      </c>
      <c r="D260" s="8" t="s">
        <v>20</v>
      </c>
      <c r="E260" s="8" t="s">
        <v>21</v>
      </c>
      <c r="F260" s="8" t="n">
        <v>33.8</v>
      </c>
      <c r="G260" s="8" t="n">
        <v>4.733</v>
      </c>
      <c r="H260" s="8" t="n">
        <v>0.786</v>
      </c>
      <c r="I260" s="8" t="n">
        <v>2787</v>
      </c>
      <c r="J260" s="8" t="n">
        <v>0.857</v>
      </c>
      <c r="K260" s="8" t="n">
        <v>1.81</v>
      </c>
      <c r="L260" s="8" t="n">
        <v>61.2</v>
      </c>
      <c r="M260" s="8" t="n">
        <v>63.9</v>
      </c>
      <c r="N260" s="8" t="s">
        <v>224</v>
      </c>
      <c r="O260" s="9" t="s">
        <v>124</v>
      </c>
    </row>
    <row r="261" customFormat="false" ht="15" hidden="false" customHeight="false" outlineLevel="0" collapsed="false">
      <c r="A261" s="8" t="s">
        <v>353</v>
      </c>
      <c r="B261" s="8" t="s">
        <v>352</v>
      </c>
      <c r="C261" s="8" t="s">
        <v>25</v>
      </c>
      <c r="D261" s="8" t="s">
        <v>26</v>
      </c>
      <c r="E261" s="8" t="s">
        <v>21</v>
      </c>
      <c r="F261" s="8" t="n">
        <v>32.9</v>
      </c>
      <c r="G261" s="8" t="n">
        <v>4.859</v>
      </c>
      <c r="H261" s="8" t="n">
        <v>0.769</v>
      </c>
      <c r="I261" s="8" t="n">
        <v>2777</v>
      </c>
      <c r="J261" s="8" t="n">
        <v>0.936</v>
      </c>
      <c r="K261" s="8" t="n">
        <v>1.74</v>
      </c>
      <c r="L261" s="8" t="n">
        <v>58.3</v>
      </c>
      <c r="M261" s="8" t="n">
        <v>66.7</v>
      </c>
      <c r="N261" s="8" t="s">
        <v>327</v>
      </c>
      <c r="O261" s="9" t="s">
        <v>124</v>
      </c>
    </row>
    <row r="262" customFormat="false" ht="15" hidden="false" customHeight="false" outlineLevel="0" collapsed="false">
      <c r="A262" s="8" t="s">
        <v>354</v>
      </c>
      <c r="B262" s="8" t="s">
        <v>352</v>
      </c>
      <c r="C262" s="8" t="s">
        <v>28</v>
      </c>
      <c r="D262" s="8" t="s">
        <v>29</v>
      </c>
      <c r="E262" s="8" t="s">
        <v>21</v>
      </c>
      <c r="F262" s="8" t="n">
        <v>30.8</v>
      </c>
      <c r="G262" s="8" t="n">
        <v>4.951</v>
      </c>
      <c r="H262" s="8" t="n">
        <v>0.892</v>
      </c>
      <c r="I262" s="8" t="n">
        <v>2828</v>
      </c>
      <c r="J262" s="8" t="n">
        <v>0.836</v>
      </c>
      <c r="K262" s="8" t="n">
        <v>1.37</v>
      </c>
      <c r="L262" s="8" t="n">
        <v>60.2</v>
      </c>
      <c r="M262" s="8" t="n">
        <v>65.5</v>
      </c>
      <c r="N262" s="8" t="s">
        <v>322</v>
      </c>
      <c r="O262" s="9" t="s">
        <v>124</v>
      </c>
    </row>
    <row r="263" customFormat="false" ht="15" hidden="false" customHeight="false" outlineLevel="0" collapsed="false">
      <c r="A263" s="8" t="s">
        <v>355</v>
      </c>
      <c r="B263" s="8" t="s">
        <v>352</v>
      </c>
      <c r="C263" s="8" t="s">
        <v>19</v>
      </c>
      <c r="D263" s="8" t="s">
        <v>31</v>
      </c>
      <c r="E263" s="8" t="s">
        <v>21</v>
      </c>
      <c r="F263" s="8" t="n">
        <v>31.4</v>
      </c>
      <c r="G263" s="8" t="n">
        <v>4.829</v>
      </c>
      <c r="H263" s="8" t="n">
        <v>0.862</v>
      </c>
      <c r="I263" s="8" t="n">
        <v>2928</v>
      </c>
      <c r="J263" s="8" t="n">
        <v>0.745</v>
      </c>
      <c r="K263" s="8" t="n">
        <v>1.47</v>
      </c>
      <c r="L263" s="8" t="n">
        <v>65.5</v>
      </c>
      <c r="M263" s="8" t="n">
        <v>64.9</v>
      </c>
      <c r="N263" s="8" t="s">
        <v>356</v>
      </c>
      <c r="O263" s="9" t="s">
        <v>124</v>
      </c>
    </row>
    <row r="264" customFormat="false" ht="15" hidden="false" customHeight="false" outlineLevel="0" collapsed="false">
      <c r="A264" s="6" t="s">
        <v>357</v>
      </c>
      <c r="B264" s="6" t="s">
        <v>352</v>
      </c>
      <c r="C264" s="6" t="s">
        <v>25</v>
      </c>
      <c r="D264" s="6" t="s">
        <v>33</v>
      </c>
      <c r="E264" s="6" t="s">
        <v>21</v>
      </c>
      <c r="F264" s="6" t="n">
        <v>33.8</v>
      </c>
      <c r="G264" s="6" t="n">
        <v>4.406</v>
      </c>
      <c r="H264" s="6" t="n">
        <v>0.775</v>
      </c>
      <c r="I264" s="6" t="n">
        <v>2922</v>
      </c>
      <c r="J264" s="6" t="n">
        <v>0.936</v>
      </c>
      <c r="K264" s="6" t="n">
        <v>1.95</v>
      </c>
      <c r="L264" s="6" t="n">
        <v>58.7</v>
      </c>
      <c r="M264" s="6" t="n">
        <v>68.1</v>
      </c>
      <c r="N264" s="6" t="s">
        <v>22</v>
      </c>
      <c r="O264" s="7" t="s">
        <v>23</v>
      </c>
    </row>
    <row r="265" customFormat="false" ht="15" hidden="false" customHeight="false" outlineLevel="0" collapsed="false">
      <c r="A265" s="8" t="s">
        <v>358</v>
      </c>
      <c r="B265" s="8" t="s">
        <v>359</v>
      </c>
      <c r="C265" s="8" t="s">
        <v>28</v>
      </c>
      <c r="D265" s="8" t="s">
        <v>20</v>
      </c>
      <c r="E265" s="8" t="s">
        <v>36</v>
      </c>
      <c r="F265" s="8" t="n">
        <v>30.1</v>
      </c>
      <c r="G265" s="8" t="n">
        <v>4.403</v>
      </c>
      <c r="H265" s="8" t="n">
        <v>0.879</v>
      </c>
      <c r="I265" s="8" t="n">
        <v>2841</v>
      </c>
      <c r="J265" s="8" t="n">
        <v>0.825</v>
      </c>
      <c r="K265" s="8" t="n">
        <v>1.73</v>
      </c>
      <c r="L265" s="8" t="n">
        <v>63.3</v>
      </c>
      <c r="M265" s="8" t="n">
        <v>61.8</v>
      </c>
      <c r="N265" s="8" t="s">
        <v>324</v>
      </c>
      <c r="O265" s="9" t="s">
        <v>124</v>
      </c>
    </row>
    <row r="266" customFormat="false" ht="15" hidden="false" customHeight="false" outlineLevel="0" collapsed="false">
      <c r="A266" s="8" t="s">
        <v>360</v>
      </c>
      <c r="B266" s="8" t="s">
        <v>359</v>
      </c>
      <c r="C266" s="8" t="s">
        <v>19</v>
      </c>
      <c r="D266" s="8" t="s">
        <v>26</v>
      </c>
      <c r="E266" s="8" t="s">
        <v>36</v>
      </c>
      <c r="F266" s="8" t="n">
        <v>36.5</v>
      </c>
      <c r="G266" s="8" t="n">
        <v>4.579</v>
      </c>
      <c r="H266" s="8" t="n">
        <v>0.838</v>
      </c>
      <c r="I266" s="8" t="n">
        <v>2877</v>
      </c>
      <c r="J266" s="8" t="n">
        <v>0.857</v>
      </c>
      <c r="K266" s="8" t="n">
        <v>1.31</v>
      </c>
      <c r="L266" s="8" t="n">
        <v>61.3</v>
      </c>
      <c r="M266" s="8" t="n">
        <v>64.5</v>
      </c>
      <c r="N266" s="8" t="s">
        <v>224</v>
      </c>
      <c r="O266" s="9" t="s">
        <v>124</v>
      </c>
    </row>
    <row r="267" customFormat="false" ht="15" hidden="false" customHeight="false" outlineLevel="0" collapsed="false">
      <c r="A267" s="8" t="s">
        <v>361</v>
      </c>
      <c r="B267" s="8" t="s">
        <v>359</v>
      </c>
      <c r="C267" s="8" t="s">
        <v>25</v>
      </c>
      <c r="D267" s="8" t="s">
        <v>29</v>
      </c>
      <c r="E267" s="8" t="s">
        <v>36</v>
      </c>
      <c r="F267" s="8" t="n">
        <v>30.9</v>
      </c>
      <c r="G267" s="8" t="n">
        <v>4.423</v>
      </c>
      <c r="H267" s="8" t="n">
        <v>0.764</v>
      </c>
      <c r="I267" s="8" t="n">
        <v>2869</v>
      </c>
      <c r="J267" s="8" t="n">
        <v>0.878</v>
      </c>
      <c r="K267" s="8" t="n">
        <v>2.43</v>
      </c>
      <c r="L267" s="8" t="n">
        <v>65</v>
      </c>
      <c r="M267" s="8" t="n">
        <v>70.2</v>
      </c>
      <c r="N267" s="8" t="s">
        <v>224</v>
      </c>
      <c r="O267" s="9" t="s">
        <v>124</v>
      </c>
    </row>
    <row r="268" customFormat="false" ht="15" hidden="false" customHeight="false" outlineLevel="0" collapsed="false">
      <c r="A268" s="6" t="s">
        <v>362</v>
      </c>
      <c r="B268" s="6" t="s">
        <v>359</v>
      </c>
      <c r="C268" s="6" t="s">
        <v>28</v>
      </c>
      <c r="D268" s="6" t="s">
        <v>31</v>
      </c>
      <c r="E268" s="6" t="s">
        <v>36</v>
      </c>
      <c r="F268" s="6" t="n">
        <v>30.3</v>
      </c>
      <c r="G268" s="6" t="n">
        <v>4.358</v>
      </c>
      <c r="H268" s="6" t="n">
        <v>0.728</v>
      </c>
      <c r="I268" s="6" t="n">
        <v>2716</v>
      </c>
      <c r="J268" s="6" t="n">
        <v>0.848</v>
      </c>
      <c r="K268" s="6" t="n">
        <v>2.5</v>
      </c>
      <c r="L268" s="6" t="n">
        <v>56</v>
      </c>
      <c r="M268" s="6" t="n">
        <v>62.7</v>
      </c>
      <c r="N268" s="6" t="s">
        <v>22</v>
      </c>
      <c r="O268" s="7" t="s">
        <v>23</v>
      </c>
    </row>
    <row r="269" customFormat="false" ht="15" hidden="false" customHeight="false" outlineLevel="0" collapsed="false">
      <c r="A269" s="8" t="s">
        <v>363</v>
      </c>
      <c r="B269" s="8" t="s">
        <v>359</v>
      </c>
      <c r="C269" s="8" t="s">
        <v>19</v>
      </c>
      <c r="D269" s="8" t="s">
        <v>33</v>
      </c>
      <c r="E269" s="8" t="s">
        <v>36</v>
      </c>
      <c r="F269" s="8" t="n">
        <v>32.7</v>
      </c>
      <c r="G269" s="8" t="n">
        <v>4.792</v>
      </c>
      <c r="H269" s="8" t="n">
        <v>0.734</v>
      </c>
      <c r="I269" s="8" t="n">
        <v>2820</v>
      </c>
      <c r="J269" s="8" t="n">
        <v>0.863</v>
      </c>
      <c r="K269" s="8" t="n">
        <v>2.4</v>
      </c>
      <c r="L269" s="8" t="n">
        <v>61.5</v>
      </c>
      <c r="M269" s="8" t="n">
        <v>64</v>
      </c>
      <c r="N269" s="8" t="s">
        <v>224</v>
      </c>
      <c r="O269" s="9" t="s">
        <v>124</v>
      </c>
    </row>
    <row r="270" customFormat="false" ht="15" hidden="false" customHeight="false" outlineLevel="0" collapsed="false">
      <c r="A270" s="8" t="s">
        <v>364</v>
      </c>
      <c r="B270" s="8" t="s">
        <v>365</v>
      </c>
      <c r="C270" s="8" t="s">
        <v>25</v>
      </c>
      <c r="D270" s="8" t="s">
        <v>20</v>
      </c>
      <c r="E270" s="8" t="s">
        <v>43</v>
      </c>
      <c r="F270" s="8" t="n">
        <v>32.1</v>
      </c>
      <c r="G270" s="8" t="n">
        <v>4.859</v>
      </c>
      <c r="H270" s="8" t="n">
        <v>0.686</v>
      </c>
      <c r="I270" s="8" t="n">
        <v>2737</v>
      </c>
      <c r="J270" s="8" t="n">
        <v>0.869</v>
      </c>
      <c r="K270" s="8" t="n">
        <v>2.02</v>
      </c>
      <c r="L270" s="8" t="n">
        <v>64.5</v>
      </c>
      <c r="M270" s="8" t="n">
        <v>65</v>
      </c>
      <c r="N270" s="8" t="s">
        <v>313</v>
      </c>
      <c r="O270" s="9" t="s">
        <v>124</v>
      </c>
    </row>
    <row r="271" customFormat="false" ht="15" hidden="false" customHeight="false" outlineLevel="0" collapsed="false">
      <c r="A271" s="8" t="s">
        <v>366</v>
      </c>
      <c r="B271" s="8" t="s">
        <v>365</v>
      </c>
      <c r="C271" s="8" t="s">
        <v>28</v>
      </c>
      <c r="D271" s="8" t="s">
        <v>26</v>
      </c>
      <c r="E271" s="8" t="s">
        <v>43</v>
      </c>
      <c r="F271" s="8" t="n">
        <v>31.7</v>
      </c>
      <c r="G271" s="8" t="n">
        <v>4.049</v>
      </c>
      <c r="H271" s="8" t="n">
        <v>0.766</v>
      </c>
      <c r="I271" s="8" t="n">
        <v>2775</v>
      </c>
      <c r="J271" s="8" t="n">
        <v>0.893</v>
      </c>
      <c r="K271" s="8" t="n">
        <v>1.73</v>
      </c>
      <c r="L271" s="8" t="n">
        <v>54.6</v>
      </c>
      <c r="M271" s="8" t="n">
        <v>68.6</v>
      </c>
      <c r="N271" s="8" t="s">
        <v>327</v>
      </c>
      <c r="O271" s="9" t="s">
        <v>124</v>
      </c>
    </row>
    <row r="272" customFormat="false" ht="15" hidden="false" customHeight="false" outlineLevel="0" collapsed="false">
      <c r="A272" s="8" t="s">
        <v>367</v>
      </c>
      <c r="B272" s="8" t="s">
        <v>365</v>
      </c>
      <c r="C272" s="8" t="s">
        <v>19</v>
      </c>
      <c r="D272" s="8" t="s">
        <v>29</v>
      </c>
      <c r="E272" s="8" t="s">
        <v>43</v>
      </c>
      <c r="F272" s="8" t="n">
        <v>28.1</v>
      </c>
      <c r="G272" s="8" t="n">
        <v>4.55</v>
      </c>
      <c r="H272" s="8" t="n">
        <v>0.763</v>
      </c>
      <c r="I272" s="8" t="n">
        <v>2840</v>
      </c>
      <c r="J272" s="8" t="n">
        <v>0.867</v>
      </c>
      <c r="K272" s="8" t="n">
        <v>1.98</v>
      </c>
      <c r="L272" s="8" t="n">
        <v>64</v>
      </c>
      <c r="M272" s="8" t="n">
        <v>64.3</v>
      </c>
      <c r="N272" s="8" t="s">
        <v>224</v>
      </c>
      <c r="O272" s="9" t="s">
        <v>124</v>
      </c>
    </row>
    <row r="273" customFormat="false" ht="15" hidden="false" customHeight="false" outlineLevel="0" collapsed="false">
      <c r="A273" s="4" t="s">
        <v>368</v>
      </c>
      <c r="B273" s="4" t="s">
        <v>365</v>
      </c>
      <c r="C273" s="4" t="s">
        <v>25</v>
      </c>
      <c r="D273" s="4" t="s">
        <v>31</v>
      </c>
      <c r="E273" s="4" t="s">
        <v>43</v>
      </c>
      <c r="F273" s="4" t="n">
        <v>30.9</v>
      </c>
      <c r="G273" s="4" t="n">
        <v>4.5</v>
      </c>
      <c r="H273" s="4" t="n">
        <v>0.732</v>
      </c>
      <c r="I273" s="4" t="n">
        <v>2879</v>
      </c>
      <c r="J273" s="4" t="n">
        <v>0.807</v>
      </c>
      <c r="K273" s="4" t="n">
        <v>1.85</v>
      </c>
      <c r="L273" s="4" t="n">
        <v>55</v>
      </c>
      <c r="M273" s="4" t="n">
        <v>66.8</v>
      </c>
      <c r="N273" s="4" t="s">
        <v>22</v>
      </c>
      <c r="O273" s="5" t="s">
        <v>23</v>
      </c>
    </row>
    <row r="274" customFormat="false" ht="15" hidden="false" customHeight="false" outlineLevel="0" collapsed="false">
      <c r="A274" s="8" t="s">
        <v>369</v>
      </c>
      <c r="B274" s="8" t="s">
        <v>365</v>
      </c>
      <c r="C274" s="8" t="s">
        <v>28</v>
      </c>
      <c r="D274" s="8" t="s">
        <v>33</v>
      </c>
      <c r="E274" s="8" t="s">
        <v>43</v>
      </c>
      <c r="F274" s="8" t="n">
        <v>32.8</v>
      </c>
      <c r="G274" s="8" t="n">
        <v>4.49</v>
      </c>
      <c r="H274" s="8" t="n">
        <v>0.815</v>
      </c>
      <c r="I274" s="8" t="n">
        <v>2774</v>
      </c>
      <c r="J274" s="8" t="n">
        <v>0.805</v>
      </c>
      <c r="K274" s="8" t="n">
        <v>2.4</v>
      </c>
      <c r="L274" s="8" t="n">
        <v>64.4</v>
      </c>
      <c r="M274" s="8" t="n">
        <v>67.9</v>
      </c>
      <c r="N274" s="8" t="s">
        <v>224</v>
      </c>
      <c r="O274" s="9" t="s">
        <v>124</v>
      </c>
    </row>
    <row r="275" customFormat="false" ht="15" hidden="false" customHeight="false" outlineLevel="0" collapsed="false">
      <c r="A275" s="8" t="s">
        <v>370</v>
      </c>
      <c r="B275" s="8" t="s">
        <v>371</v>
      </c>
      <c r="C275" s="8" t="s">
        <v>19</v>
      </c>
      <c r="D275" s="8" t="s">
        <v>20</v>
      </c>
      <c r="E275" s="8" t="s">
        <v>21</v>
      </c>
      <c r="F275" s="8" t="n">
        <v>27.7</v>
      </c>
      <c r="G275" s="8" t="n">
        <v>4.578</v>
      </c>
      <c r="H275" s="8" t="n">
        <v>0.863</v>
      </c>
      <c r="I275" s="8" t="n">
        <v>2813</v>
      </c>
      <c r="J275" s="8" t="n">
        <v>0.785</v>
      </c>
      <c r="K275" s="8" t="n">
        <v>2.39</v>
      </c>
      <c r="L275" s="8" t="n">
        <v>63.4</v>
      </c>
      <c r="M275" s="8" t="n">
        <v>67.5</v>
      </c>
      <c r="N275" s="8" t="s">
        <v>324</v>
      </c>
      <c r="O275" s="9" t="s">
        <v>124</v>
      </c>
    </row>
    <row r="276" customFormat="false" ht="15" hidden="false" customHeight="false" outlineLevel="0" collapsed="false">
      <c r="A276" s="8" t="s">
        <v>372</v>
      </c>
      <c r="B276" s="8" t="s">
        <v>371</v>
      </c>
      <c r="C276" s="8" t="s">
        <v>25</v>
      </c>
      <c r="D276" s="8" t="s">
        <v>26</v>
      </c>
      <c r="E276" s="8" t="s">
        <v>21</v>
      </c>
      <c r="F276" s="8" t="n">
        <v>27.6</v>
      </c>
      <c r="G276" s="8" t="n">
        <v>4.856</v>
      </c>
      <c r="H276" s="8" t="n">
        <v>0.749</v>
      </c>
      <c r="I276" s="8" t="n">
        <v>2880</v>
      </c>
      <c r="J276" s="8" t="n">
        <v>0.848</v>
      </c>
      <c r="K276" s="8" t="n">
        <v>2.9</v>
      </c>
      <c r="L276" s="8" t="n">
        <v>61.6</v>
      </c>
      <c r="M276" s="8" t="n">
        <v>62.8</v>
      </c>
      <c r="N276" s="8" t="s">
        <v>313</v>
      </c>
      <c r="O276" s="9" t="s">
        <v>124</v>
      </c>
    </row>
    <row r="277" customFormat="false" ht="15" hidden="false" customHeight="false" outlineLevel="0" collapsed="false">
      <c r="A277" s="8" t="s">
        <v>373</v>
      </c>
      <c r="B277" s="8" t="s">
        <v>371</v>
      </c>
      <c r="C277" s="8" t="s">
        <v>28</v>
      </c>
      <c r="D277" s="8" t="s">
        <v>29</v>
      </c>
      <c r="E277" s="8" t="s">
        <v>21</v>
      </c>
      <c r="F277" s="8" t="n">
        <v>31.7</v>
      </c>
      <c r="G277" s="8" t="n">
        <v>4.357</v>
      </c>
      <c r="H277" s="8" t="n">
        <v>0.792</v>
      </c>
      <c r="I277" s="8" t="n">
        <v>2822</v>
      </c>
      <c r="J277" s="8" t="n">
        <v>0.947</v>
      </c>
      <c r="K277" s="8" t="n">
        <v>1.31</v>
      </c>
      <c r="L277" s="8" t="n">
        <v>61.7</v>
      </c>
      <c r="M277" s="8" t="n">
        <v>65.2</v>
      </c>
      <c r="N277" s="8" t="s">
        <v>224</v>
      </c>
      <c r="O277" s="9" t="s">
        <v>124</v>
      </c>
    </row>
    <row r="278" customFormat="false" ht="15" hidden="false" customHeight="false" outlineLevel="0" collapsed="false">
      <c r="A278" s="6" t="s">
        <v>374</v>
      </c>
      <c r="B278" s="6" t="s">
        <v>371</v>
      </c>
      <c r="C278" s="6" t="s">
        <v>19</v>
      </c>
      <c r="D278" s="6" t="s">
        <v>31</v>
      </c>
      <c r="E278" s="6" t="s">
        <v>21</v>
      </c>
      <c r="F278" s="6" t="n">
        <v>33.2</v>
      </c>
      <c r="G278" s="6" t="n">
        <v>4.428</v>
      </c>
      <c r="H278" s="6" t="n">
        <v>0.675</v>
      </c>
      <c r="I278" s="6" t="n">
        <v>2833</v>
      </c>
      <c r="J278" s="6" t="n">
        <v>0.83</v>
      </c>
      <c r="K278" s="6" t="n">
        <v>2.46</v>
      </c>
      <c r="L278" s="6" t="n">
        <v>58.4</v>
      </c>
      <c r="M278" s="6" t="n">
        <v>63.3</v>
      </c>
      <c r="N278" s="6" t="s">
        <v>22</v>
      </c>
      <c r="O278" s="7" t="s">
        <v>23</v>
      </c>
    </row>
    <row r="279" customFormat="false" ht="15" hidden="false" customHeight="false" outlineLevel="0" collapsed="false">
      <c r="A279" s="8" t="s">
        <v>375</v>
      </c>
      <c r="B279" s="8" t="s">
        <v>371</v>
      </c>
      <c r="C279" s="8" t="s">
        <v>25</v>
      </c>
      <c r="D279" s="8" t="s">
        <v>33</v>
      </c>
      <c r="E279" s="8" t="s">
        <v>21</v>
      </c>
      <c r="F279" s="8" t="n">
        <v>31.6</v>
      </c>
      <c r="G279" s="8" t="n">
        <v>4.856</v>
      </c>
      <c r="H279" s="8" t="n">
        <v>0.877</v>
      </c>
      <c r="I279" s="8" t="n">
        <v>2776</v>
      </c>
      <c r="J279" s="8" t="n">
        <v>0.815</v>
      </c>
      <c r="K279" s="8" t="n">
        <v>1.88</v>
      </c>
      <c r="L279" s="8" t="n">
        <v>59.1</v>
      </c>
      <c r="M279" s="8" t="n">
        <v>63</v>
      </c>
      <c r="N279" s="8" t="s">
        <v>376</v>
      </c>
      <c r="O279" s="9" t="s">
        <v>124</v>
      </c>
    </row>
    <row r="280" customFormat="false" ht="15" hidden="false" customHeight="false" outlineLevel="0" collapsed="false">
      <c r="A280" s="6" t="s">
        <v>377</v>
      </c>
      <c r="B280" s="6" t="s">
        <v>378</v>
      </c>
      <c r="C280" s="6" t="s">
        <v>28</v>
      </c>
      <c r="D280" s="6" t="s">
        <v>20</v>
      </c>
      <c r="E280" s="6" t="s">
        <v>36</v>
      </c>
      <c r="F280" s="6" t="n">
        <v>33.5</v>
      </c>
      <c r="G280" s="6" t="n">
        <v>4.535</v>
      </c>
      <c r="H280" s="6" t="n">
        <v>0.774</v>
      </c>
      <c r="I280" s="6" t="n">
        <v>2856</v>
      </c>
      <c r="J280" s="6" t="n">
        <v>0.833</v>
      </c>
      <c r="K280" s="6" t="n">
        <v>2.67</v>
      </c>
      <c r="L280" s="6" t="n">
        <v>59.7</v>
      </c>
      <c r="M280" s="6" t="n">
        <v>68.8</v>
      </c>
      <c r="N280" s="6" t="s">
        <v>22</v>
      </c>
      <c r="O280" s="7" t="s">
        <v>23</v>
      </c>
    </row>
    <row r="281" customFormat="false" ht="15" hidden="false" customHeight="false" outlineLevel="0" collapsed="false">
      <c r="A281" s="8" t="s">
        <v>379</v>
      </c>
      <c r="B281" s="8" t="s">
        <v>378</v>
      </c>
      <c r="C281" s="8" t="s">
        <v>19</v>
      </c>
      <c r="D281" s="8" t="s">
        <v>26</v>
      </c>
      <c r="E281" s="8" t="s">
        <v>36</v>
      </c>
      <c r="F281" s="8" t="n">
        <v>31.9</v>
      </c>
      <c r="G281" s="8" t="n">
        <v>4.305</v>
      </c>
      <c r="H281" s="8" t="n">
        <v>0.766</v>
      </c>
      <c r="I281" s="8" t="n">
        <v>2749</v>
      </c>
      <c r="J281" s="8" t="n">
        <v>0.901</v>
      </c>
      <c r="K281" s="8" t="n">
        <v>2.02</v>
      </c>
      <c r="L281" s="8" t="n">
        <v>63.4</v>
      </c>
      <c r="M281" s="8" t="n">
        <v>66.1</v>
      </c>
      <c r="N281" s="8" t="s">
        <v>224</v>
      </c>
      <c r="O281" s="9" t="s">
        <v>124</v>
      </c>
    </row>
    <row r="282" customFormat="false" ht="15" hidden="false" customHeight="false" outlineLevel="0" collapsed="false">
      <c r="A282" s="6" t="s">
        <v>380</v>
      </c>
      <c r="B282" s="6" t="s">
        <v>378</v>
      </c>
      <c r="C282" s="6" t="s">
        <v>25</v>
      </c>
      <c r="D282" s="6" t="s">
        <v>29</v>
      </c>
      <c r="E282" s="6" t="s">
        <v>36</v>
      </c>
      <c r="F282" s="6" t="n">
        <v>34.8</v>
      </c>
      <c r="G282" s="6" t="n">
        <v>4.35</v>
      </c>
      <c r="H282" s="6" t="n">
        <v>0.751</v>
      </c>
      <c r="I282" s="6" t="n">
        <v>2830</v>
      </c>
      <c r="J282" s="6" t="n">
        <v>0.817</v>
      </c>
      <c r="K282" s="6" t="n">
        <v>1.42</v>
      </c>
      <c r="L282" s="6" t="n">
        <v>59.8</v>
      </c>
      <c r="M282" s="6" t="n">
        <v>64.4</v>
      </c>
      <c r="N282" s="6" t="s">
        <v>22</v>
      </c>
      <c r="O282" s="7" t="s">
        <v>23</v>
      </c>
    </row>
    <row r="283" customFormat="false" ht="15" hidden="false" customHeight="false" outlineLevel="0" collapsed="false">
      <c r="A283" s="4" t="s">
        <v>381</v>
      </c>
      <c r="B283" s="4" t="s">
        <v>378</v>
      </c>
      <c r="C283" s="4" t="s">
        <v>28</v>
      </c>
      <c r="D283" s="4" t="s">
        <v>31</v>
      </c>
      <c r="E283" s="4" t="s">
        <v>36</v>
      </c>
      <c r="F283" s="4" t="n">
        <v>33.4</v>
      </c>
      <c r="G283" s="4" t="n">
        <v>4.772</v>
      </c>
      <c r="H283" s="4" t="n">
        <v>0.77</v>
      </c>
      <c r="I283" s="4" t="n">
        <v>2841</v>
      </c>
      <c r="J283" s="4" t="n">
        <v>0.893</v>
      </c>
      <c r="K283" s="4" t="n">
        <v>1.87</v>
      </c>
      <c r="L283" s="4" t="n">
        <v>57.1</v>
      </c>
      <c r="M283" s="4" t="n">
        <v>65.9</v>
      </c>
      <c r="N283" s="4" t="s">
        <v>22</v>
      </c>
      <c r="O283" s="5" t="s">
        <v>23</v>
      </c>
    </row>
    <row r="284" customFormat="false" ht="15" hidden="false" customHeight="false" outlineLevel="0" collapsed="false">
      <c r="A284" s="6" t="s">
        <v>382</v>
      </c>
      <c r="B284" s="6" t="s">
        <v>378</v>
      </c>
      <c r="C284" s="6" t="s">
        <v>19</v>
      </c>
      <c r="D284" s="6" t="s">
        <v>33</v>
      </c>
      <c r="E284" s="6" t="s">
        <v>36</v>
      </c>
      <c r="F284" s="6" t="n">
        <v>31.4</v>
      </c>
      <c r="G284" s="6" t="n">
        <v>4.767</v>
      </c>
      <c r="H284" s="6" t="n">
        <v>0.752</v>
      </c>
      <c r="I284" s="6" t="n">
        <v>2745</v>
      </c>
      <c r="J284" s="6" t="n">
        <v>0.885</v>
      </c>
      <c r="K284" s="6" t="n">
        <v>2.24</v>
      </c>
      <c r="L284" s="6" t="n">
        <v>57.6</v>
      </c>
      <c r="M284" s="6" t="n">
        <v>65.5</v>
      </c>
      <c r="N284" s="6" t="s">
        <v>22</v>
      </c>
      <c r="O284" s="7" t="s">
        <v>23</v>
      </c>
    </row>
    <row r="285" customFormat="false" ht="15" hidden="false" customHeight="false" outlineLevel="0" collapsed="false">
      <c r="A285" s="8" t="s">
        <v>383</v>
      </c>
      <c r="B285" s="8" t="s">
        <v>384</v>
      </c>
      <c r="C285" s="8" t="s">
        <v>25</v>
      </c>
      <c r="D285" s="8" t="s">
        <v>20</v>
      </c>
      <c r="E285" s="8" t="s">
        <v>43</v>
      </c>
      <c r="F285" s="8" t="n">
        <v>32.9</v>
      </c>
      <c r="G285" s="8" t="n">
        <v>4.917</v>
      </c>
      <c r="H285" s="8" t="n">
        <v>0.748</v>
      </c>
      <c r="I285" s="8" t="n">
        <v>2778</v>
      </c>
      <c r="J285" s="8" t="n">
        <v>0.839</v>
      </c>
      <c r="K285" s="8" t="n">
        <v>1.75</v>
      </c>
      <c r="L285" s="8" t="n">
        <v>63.3</v>
      </c>
      <c r="M285" s="8" t="n">
        <v>66.1</v>
      </c>
      <c r="N285" s="8" t="s">
        <v>313</v>
      </c>
      <c r="O285" s="9" t="s">
        <v>124</v>
      </c>
    </row>
    <row r="286" customFormat="false" ht="15" hidden="false" customHeight="false" outlineLevel="0" collapsed="false">
      <c r="A286" s="6" t="s">
        <v>385</v>
      </c>
      <c r="B286" s="6" t="s">
        <v>384</v>
      </c>
      <c r="C286" s="6" t="s">
        <v>28</v>
      </c>
      <c r="D286" s="6" t="s">
        <v>26</v>
      </c>
      <c r="E286" s="6" t="s">
        <v>43</v>
      </c>
      <c r="F286" s="6" t="n">
        <v>32.5</v>
      </c>
      <c r="G286" s="6" t="n">
        <v>4.362</v>
      </c>
      <c r="H286" s="6" t="n">
        <v>0.845</v>
      </c>
      <c r="I286" s="6" t="n">
        <v>2744</v>
      </c>
      <c r="J286" s="6" t="n">
        <v>0.868</v>
      </c>
      <c r="K286" s="6" t="n">
        <v>1.61</v>
      </c>
      <c r="L286" s="6" t="n">
        <v>57.7</v>
      </c>
      <c r="M286" s="6" t="n">
        <v>66.7</v>
      </c>
      <c r="N286" s="6" t="s">
        <v>22</v>
      </c>
      <c r="O286" s="7" t="s">
        <v>23</v>
      </c>
    </row>
    <row r="287" customFormat="false" ht="15" hidden="false" customHeight="false" outlineLevel="0" collapsed="false">
      <c r="A287" s="8" t="s">
        <v>386</v>
      </c>
      <c r="B287" s="8" t="s">
        <v>384</v>
      </c>
      <c r="C287" s="8" t="s">
        <v>19</v>
      </c>
      <c r="D287" s="8" t="s">
        <v>29</v>
      </c>
      <c r="E287" s="8" t="s">
        <v>43</v>
      </c>
      <c r="F287" s="8" t="n">
        <v>32.1</v>
      </c>
      <c r="G287" s="8" t="n">
        <v>4.509</v>
      </c>
      <c r="H287" s="8" t="n">
        <v>0.97</v>
      </c>
      <c r="I287" s="8" t="n">
        <v>2801</v>
      </c>
      <c r="J287" s="8" t="n">
        <v>0.904</v>
      </c>
      <c r="K287" s="8" t="n">
        <v>1.09</v>
      </c>
      <c r="L287" s="8" t="n">
        <v>62.6</v>
      </c>
      <c r="M287" s="8" t="n">
        <v>64</v>
      </c>
      <c r="N287" s="8" t="s">
        <v>324</v>
      </c>
      <c r="O287" s="9" t="s">
        <v>124</v>
      </c>
    </row>
    <row r="288" customFormat="false" ht="15" hidden="false" customHeight="false" outlineLevel="0" collapsed="false">
      <c r="A288" s="8" t="s">
        <v>387</v>
      </c>
      <c r="B288" s="8" t="s">
        <v>384</v>
      </c>
      <c r="C288" s="8" t="s">
        <v>25</v>
      </c>
      <c r="D288" s="8" t="s">
        <v>31</v>
      </c>
      <c r="E288" s="8" t="s">
        <v>43</v>
      </c>
      <c r="F288" s="8" t="n">
        <v>27.5</v>
      </c>
      <c r="G288" s="8" t="n">
        <v>4.626</v>
      </c>
      <c r="H288" s="8" t="n">
        <v>0.899</v>
      </c>
      <c r="I288" s="8" t="n">
        <v>2808</v>
      </c>
      <c r="J288" s="8" t="n">
        <v>0.798</v>
      </c>
      <c r="K288" s="8" t="n">
        <v>1.43</v>
      </c>
      <c r="L288" s="8" t="n">
        <v>53</v>
      </c>
      <c r="M288" s="8" t="n">
        <v>60.5</v>
      </c>
      <c r="N288" s="8" t="s">
        <v>338</v>
      </c>
      <c r="O288" s="9" t="s">
        <v>124</v>
      </c>
    </row>
    <row r="289" customFormat="false" ht="15" hidden="false" customHeight="false" outlineLevel="0" collapsed="false">
      <c r="A289" s="8" t="s">
        <v>388</v>
      </c>
      <c r="B289" s="8" t="s">
        <v>384</v>
      </c>
      <c r="C289" s="8" t="s">
        <v>28</v>
      </c>
      <c r="D289" s="8" t="s">
        <v>33</v>
      </c>
      <c r="E289" s="8" t="s">
        <v>43</v>
      </c>
      <c r="F289" s="8" t="n">
        <v>30.2</v>
      </c>
      <c r="G289" s="8" t="n">
        <v>4.924</v>
      </c>
      <c r="H289" s="8" t="n">
        <v>0.668</v>
      </c>
      <c r="I289" s="8" t="n">
        <v>2749</v>
      </c>
      <c r="J289" s="8" t="n">
        <v>0.868</v>
      </c>
      <c r="K289" s="8" t="n">
        <v>2.41</v>
      </c>
      <c r="L289" s="8" t="n">
        <v>64</v>
      </c>
      <c r="M289" s="8" t="n">
        <v>61.8</v>
      </c>
      <c r="N289" s="8" t="s">
        <v>313</v>
      </c>
      <c r="O289" s="9" t="s">
        <v>124</v>
      </c>
    </row>
    <row r="290" customFormat="false" ht="15" hidden="false" customHeight="false" outlineLevel="0" collapsed="false">
      <c r="A290" s="8" t="s">
        <v>389</v>
      </c>
      <c r="B290" s="8" t="s">
        <v>390</v>
      </c>
      <c r="C290" s="8" t="s">
        <v>19</v>
      </c>
      <c r="D290" s="8" t="s">
        <v>20</v>
      </c>
      <c r="E290" s="8" t="s">
        <v>21</v>
      </c>
      <c r="F290" s="8" t="n">
        <v>32.4</v>
      </c>
      <c r="G290" s="8" t="n">
        <v>4.807</v>
      </c>
      <c r="H290" s="8" t="n">
        <v>0.802</v>
      </c>
      <c r="I290" s="8" t="n">
        <v>2821</v>
      </c>
      <c r="J290" s="8" t="n">
        <v>0.846</v>
      </c>
      <c r="K290" s="8" t="n">
        <v>1.7</v>
      </c>
      <c r="L290" s="8" t="n">
        <v>49.9</v>
      </c>
      <c r="M290" s="8" t="n">
        <v>62.4</v>
      </c>
      <c r="N290" s="8" t="s">
        <v>327</v>
      </c>
      <c r="O290" s="9" t="s">
        <v>124</v>
      </c>
    </row>
    <row r="291" customFormat="false" ht="15" hidden="false" customHeight="false" outlineLevel="0" collapsed="false">
      <c r="A291" s="8" t="s">
        <v>391</v>
      </c>
      <c r="B291" s="8" t="s">
        <v>390</v>
      </c>
      <c r="C291" s="8" t="s">
        <v>25</v>
      </c>
      <c r="D291" s="8" t="s">
        <v>26</v>
      </c>
      <c r="E291" s="8" t="s">
        <v>21</v>
      </c>
      <c r="F291" s="8" t="n">
        <v>34.4</v>
      </c>
      <c r="G291" s="8" t="n">
        <v>4.928</v>
      </c>
      <c r="H291" s="8" t="n">
        <v>0.756</v>
      </c>
      <c r="I291" s="8" t="n">
        <v>2830</v>
      </c>
      <c r="J291" s="8" t="n">
        <v>0.841</v>
      </c>
      <c r="K291" s="8" t="n">
        <v>2.53</v>
      </c>
      <c r="L291" s="8" t="n">
        <v>55.3</v>
      </c>
      <c r="M291" s="8" t="n">
        <v>66.9</v>
      </c>
      <c r="N291" s="8" t="s">
        <v>327</v>
      </c>
      <c r="O291" s="9" t="s">
        <v>124</v>
      </c>
    </row>
    <row r="292" customFormat="false" ht="15" hidden="false" customHeight="false" outlineLevel="0" collapsed="false">
      <c r="A292" s="8" t="s">
        <v>392</v>
      </c>
      <c r="B292" s="8" t="s">
        <v>390</v>
      </c>
      <c r="C292" s="8" t="s">
        <v>28</v>
      </c>
      <c r="D292" s="8" t="s">
        <v>29</v>
      </c>
      <c r="E292" s="8" t="s">
        <v>21</v>
      </c>
      <c r="F292" s="8" t="n">
        <v>30.3</v>
      </c>
      <c r="G292" s="8" t="n">
        <v>4.948</v>
      </c>
      <c r="H292" s="8" t="n">
        <v>0.779</v>
      </c>
      <c r="I292" s="8" t="n">
        <v>2781</v>
      </c>
      <c r="J292" s="8" t="n">
        <v>0.919</v>
      </c>
      <c r="K292" s="8" t="n">
        <v>1.41</v>
      </c>
      <c r="L292" s="8" t="n">
        <v>53.4</v>
      </c>
      <c r="M292" s="8" t="n">
        <v>66.8</v>
      </c>
      <c r="N292" s="8" t="s">
        <v>327</v>
      </c>
      <c r="O292" s="9" t="s">
        <v>124</v>
      </c>
    </row>
    <row r="293" customFormat="false" ht="15" hidden="false" customHeight="false" outlineLevel="0" collapsed="false">
      <c r="A293" s="4" t="s">
        <v>393</v>
      </c>
      <c r="B293" s="4" t="s">
        <v>390</v>
      </c>
      <c r="C293" s="4" t="s">
        <v>19</v>
      </c>
      <c r="D293" s="4" t="s">
        <v>31</v>
      </c>
      <c r="E293" s="4" t="s">
        <v>21</v>
      </c>
      <c r="F293" s="4" t="n">
        <v>28.9</v>
      </c>
      <c r="G293" s="4" t="n">
        <v>4.395</v>
      </c>
      <c r="H293" s="4" t="n">
        <v>0.715</v>
      </c>
      <c r="I293" s="4" t="n">
        <v>2741</v>
      </c>
      <c r="J293" s="4" t="n">
        <v>0.88</v>
      </c>
      <c r="K293" s="4" t="n">
        <v>2.71</v>
      </c>
      <c r="L293" s="4" t="n">
        <v>57.9</v>
      </c>
      <c r="M293" s="4" t="n">
        <v>63</v>
      </c>
      <c r="N293" s="4" t="s">
        <v>22</v>
      </c>
      <c r="O293" s="5" t="s">
        <v>23</v>
      </c>
    </row>
    <row r="294" customFormat="false" ht="15" hidden="false" customHeight="false" outlineLevel="0" collapsed="false">
      <c r="A294" s="8" t="s">
        <v>394</v>
      </c>
      <c r="B294" s="8" t="s">
        <v>390</v>
      </c>
      <c r="C294" s="8" t="s">
        <v>25</v>
      </c>
      <c r="D294" s="8" t="s">
        <v>33</v>
      </c>
      <c r="E294" s="8" t="s">
        <v>21</v>
      </c>
      <c r="F294" s="8" t="n">
        <v>32.1</v>
      </c>
      <c r="G294" s="8" t="n">
        <v>4.831</v>
      </c>
      <c r="H294" s="8" t="n">
        <v>0.78</v>
      </c>
      <c r="I294" s="8" t="n">
        <v>2742</v>
      </c>
      <c r="J294" s="8" t="n">
        <v>0.859</v>
      </c>
      <c r="K294" s="8" t="n">
        <v>2.23</v>
      </c>
      <c r="L294" s="8" t="n">
        <v>65.4</v>
      </c>
      <c r="M294" s="8" t="n">
        <v>65</v>
      </c>
      <c r="N294" s="8" t="s">
        <v>313</v>
      </c>
      <c r="O294" s="9" t="s">
        <v>124</v>
      </c>
    </row>
    <row r="295" customFormat="false" ht="15" hidden="false" customHeight="false" outlineLevel="0" collapsed="false">
      <c r="A295" s="4" t="s">
        <v>395</v>
      </c>
      <c r="B295" s="4" t="s">
        <v>396</v>
      </c>
      <c r="C295" s="4" t="s">
        <v>28</v>
      </c>
      <c r="D295" s="4" t="s">
        <v>20</v>
      </c>
      <c r="E295" s="4" t="s">
        <v>36</v>
      </c>
      <c r="F295" s="4" t="n">
        <v>31.9</v>
      </c>
      <c r="G295" s="4" t="n">
        <v>4.783</v>
      </c>
      <c r="H295" s="4" t="n">
        <v>0.793</v>
      </c>
      <c r="I295" s="4" t="n">
        <v>2849</v>
      </c>
      <c r="J295" s="4" t="n">
        <v>0.82</v>
      </c>
      <c r="K295" s="4" t="n">
        <v>1.43</v>
      </c>
      <c r="L295" s="4" t="n">
        <v>58.5</v>
      </c>
      <c r="M295" s="4" t="n">
        <v>63.8</v>
      </c>
      <c r="N295" s="4" t="s">
        <v>22</v>
      </c>
      <c r="O295" s="5" t="s">
        <v>23</v>
      </c>
    </row>
    <row r="296" customFormat="false" ht="15" hidden="false" customHeight="false" outlineLevel="0" collapsed="false">
      <c r="A296" s="8" t="s">
        <v>397</v>
      </c>
      <c r="B296" s="8" t="s">
        <v>396</v>
      </c>
      <c r="C296" s="8" t="s">
        <v>19</v>
      </c>
      <c r="D296" s="8" t="s">
        <v>26</v>
      </c>
      <c r="E296" s="8" t="s">
        <v>36</v>
      </c>
      <c r="F296" s="8" t="n">
        <v>32.6</v>
      </c>
      <c r="G296" s="8" t="n">
        <v>4.763</v>
      </c>
      <c r="H296" s="8" t="n">
        <v>0.885</v>
      </c>
      <c r="I296" s="8" t="n">
        <v>2770</v>
      </c>
      <c r="J296" s="8" t="n">
        <v>0.883</v>
      </c>
      <c r="K296" s="8" t="n">
        <v>2.3</v>
      </c>
      <c r="L296" s="8" t="n">
        <v>65.5</v>
      </c>
      <c r="M296" s="8" t="n">
        <v>68.2</v>
      </c>
      <c r="N296" s="8" t="s">
        <v>324</v>
      </c>
      <c r="O296" s="9" t="s">
        <v>124</v>
      </c>
    </row>
    <row r="297" customFormat="false" ht="15" hidden="false" customHeight="false" outlineLevel="0" collapsed="false">
      <c r="A297" s="8" t="s">
        <v>398</v>
      </c>
      <c r="B297" s="8" t="s">
        <v>396</v>
      </c>
      <c r="C297" s="8" t="s">
        <v>25</v>
      </c>
      <c r="D297" s="8" t="s">
        <v>29</v>
      </c>
      <c r="E297" s="8" t="s">
        <v>36</v>
      </c>
      <c r="F297" s="8" t="n">
        <v>33.9</v>
      </c>
      <c r="G297" s="8" t="n">
        <v>4.9</v>
      </c>
      <c r="H297" s="8" t="n">
        <v>0.873</v>
      </c>
      <c r="I297" s="8" t="n">
        <v>2781</v>
      </c>
      <c r="J297" s="8" t="n">
        <v>0.872</v>
      </c>
      <c r="K297" s="8" t="n">
        <v>2.12</v>
      </c>
      <c r="L297" s="8" t="n">
        <v>59.7</v>
      </c>
      <c r="M297" s="8" t="n">
        <v>66.5</v>
      </c>
      <c r="N297" s="8" t="s">
        <v>376</v>
      </c>
      <c r="O297" s="9" t="s">
        <v>124</v>
      </c>
    </row>
    <row r="298" customFormat="false" ht="15" hidden="false" customHeight="false" outlineLevel="0" collapsed="false">
      <c r="A298" s="8" t="s">
        <v>399</v>
      </c>
      <c r="B298" s="8" t="s">
        <v>396</v>
      </c>
      <c r="C298" s="8" t="s">
        <v>28</v>
      </c>
      <c r="D298" s="8" t="s">
        <v>31</v>
      </c>
      <c r="E298" s="8" t="s">
        <v>36</v>
      </c>
      <c r="F298" s="8" t="n">
        <v>34.4</v>
      </c>
      <c r="G298" s="8" t="n">
        <v>4.827</v>
      </c>
      <c r="H298" s="8" t="n">
        <v>0.932</v>
      </c>
      <c r="I298" s="8" t="n">
        <v>2738</v>
      </c>
      <c r="J298" s="8" t="n">
        <v>0.766</v>
      </c>
      <c r="K298" s="8" t="n">
        <v>1.06</v>
      </c>
      <c r="L298" s="8" t="n">
        <v>59.9</v>
      </c>
      <c r="M298" s="8" t="n">
        <v>66.6</v>
      </c>
      <c r="N298" s="8" t="s">
        <v>376</v>
      </c>
      <c r="O298" s="9" t="s">
        <v>124</v>
      </c>
    </row>
    <row r="299" customFormat="false" ht="15" hidden="false" customHeight="false" outlineLevel="0" collapsed="false">
      <c r="A299" s="8" t="s">
        <v>400</v>
      </c>
      <c r="B299" s="8" t="s">
        <v>396</v>
      </c>
      <c r="C299" s="8" t="s">
        <v>19</v>
      </c>
      <c r="D299" s="8" t="s">
        <v>33</v>
      </c>
      <c r="E299" s="8" t="s">
        <v>36</v>
      </c>
      <c r="F299" s="8" t="n">
        <v>33.6</v>
      </c>
      <c r="G299" s="8" t="n">
        <v>4.15</v>
      </c>
      <c r="H299" s="8" t="n">
        <v>0.83</v>
      </c>
      <c r="I299" s="8" t="n">
        <v>2774</v>
      </c>
      <c r="J299" s="8" t="n">
        <v>0.869</v>
      </c>
      <c r="K299" s="8" t="n">
        <v>1.79</v>
      </c>
      <c r="L299" s="8" t="n">
        <v>65.7</v>
      </c>
      <c r="M299" s="8" t="n">
        <v>63.6</v>
      </c>
      <c r="N299" s="8" t="s">
        <v>313</v>
      </c>
      <c r="O299" s="9" t="s">
        <v>124</v>
      </c>
    </row>
    <row r="300" customFormat="false" ht="15" hidden="false" customHeight="false" outlineLevel="0" collapsed="false">
      <c r="A300" s="8" t="s">
        <v>401</v>
      </c>
      <c r="B300" s="8" t="s">
        <v>402</v>
      </c>
      <c r="C300" s="8" t="s">
        <v>25</v>
      </c>
      <c r="D300" s="8" t="s">
        <v>20</v>
      </c>
      <c r="E300" s="8" t="s">
        <v>43</v>
      </c>
      <c r="F300" s="8" t="n">
        <v>35.7</v>
      </c>
      <c r="G300" s="8" t="n">
        <v>4.695</v>
      </c>
      <c r="H300" s="8" t="n">
        <v>0.688</v>
      </c>
      <c r="I300" s="8" t="n">
        <v>2823</v>
      </c>
      <c r="J300" s="8" t="n">
        <v>0.781</v>
      </c>
      <c r="K300" s="8" t="n">
        <v>1.07</v>
      </c>
      <c r="L300" s="8" t="n">
        <v>62.8</v>
      </c>
      <c r="M300" s="8" t="n">
        <v>62.9</v>
      </c>
      <c r="N300" s="8" t="s">
        <v>224</v>
      </c>
      <c r="O300" s="9" t="s">
        <v>124</v>
      </c>
    </row>
    <row r="301" customFormat="false" ht="15" hidden="false" customHeight="false" outlineLevel="0" collapsed="false">
      <c r="A301" s="4" t="s">
        <v>403</v>
      </c>
      <c r="B301" s="4" t="s">
        <v>402</v>
      </c>
      <c r="C301" s="4" t="s">
        <v>28</v>
      </c>
      <c r="D301" s="4" t="s">
        <v>26</v>
      </c>
      <c r="E301" s="4" t="s">
        <v>43</v>
      </c>
      <c r="F301" s="4" t="n">
        <v>30.5</v>
      </c>
      <c r="G301" s="4" t="n">
        <v>4.605</v>
      </c>
      <c r="H301" s="4" t="n">
        <v>0.81</v>
      </c>
      <c r="I301" s="4" t="n">
        <v>2778</v>
      </c>
      <c r="J301" s="4" t="n">
        <v>0.888</v>
      </c>
      <c r="K301" s="4" t="n">
        <v>2.26</v>
      </c>
      <c r="L301" s="4" t="n">
        <v>56.8</v>
      </c>
      <c r="M301" s="4" t="n">
        <v>63.5</v>
      </c>
      <c r="N301" s="4" t="s">
        <v>22</v>
      </c>
      <c r="O301" s="5" t="s">
        <v>23</v>
      </c>
    </row>
    <row r="302" customFormat="false" ht="15" hidden="false" customHeight="false" outlineLevel="0" collapsed="false">
      <c r="A302" s="8" t="s">
        <v>404</v>
      </c>
      <c r="B302" s="8" t="s">
        <v>402</v>
      </c>
      <c r="C302" s="8" t="s">
        <v>19</v>
      </c>
      <c r="D302" s="8" t="s">
        <v>29</v>
      </c>
      <c r="E302" s="8" t="s">
        <v>43</v>
      </c>
      <c r="F302" s="8" t="n">
        <v>31.3</v>
      </c>
      <c r="G302" s="8" t="n">
        <v>4.763</v>
      </c>
      <c r="H302" s="8" t="n">
        <v>0.861</v>
      </c>
      <c r="I302" s="8" t="n">
        <v>2751</v>
      </c>
      <c r="J302" s="8" t="n">
        <v>0.828</v>
      </c>
      <c r="K302" s="8" t="n">
        <v>2.24</v>
      </c>
      <c r="L302" s="8" t="n">
        <v>56</v>
      </c>
      <c r="M302" s="8" t="n">
        <v>66.5</v>
      </c>
      <c r="N302" s="8" t="s">
        <v>338</v>
      </c>
      <c r="O302" s="9" t="s">
        <v>124</v>
      </c>
    </row>
    <row r="303" customFormat="false" ht="15" hidden="false" customHeight="false" outlineLevel="0" collapsed="false">
      <c r="A303" s="8" t="s">
        <v>405</v>
      </c>
      <c r="B303" s="8" t="s">
        <v>402</v>
      </c>
      <c r="C303" s="8" t="s">
        <v>25</v>
      </c>
      <c r="D303" s="8" t="s">
        <v>31</v>
      </c>
      <c r="E303" s="8" t="s">
        <v>43</v>
      </c>
      <c r="F303" s="8" t="n">
        <v>30.5</v>
      </c>
      <c r="G303" s="8" t="n">
        <v>4.87</v>
      </c>
      <c r="H303" s="8" t="n">
        <v>0.734</v>
      </c>
      <c r="I303" s="8" t="n">
        <v>2850</v>
      </c>
      <c r="J303" s="8" t="n">
        <v>0.842</v>
      </c>
      <c r="K303" s="8" t="n">
        <v>1.56</v>
      </c>
      <c r="L303" s="8" t="n">
        <v>54.6</v>
      </c>
      <c r="M303" s="8" t="n">
        <v>66.5</v>
      </c>
      <c r="N303" s="8" t="s">
        <v>327</v>
      </c>
      <c r="O303" s="9" t="s">
        <v>124</v>
      </c>
    </row>
    <row r="304" customFormat="false" ht="15" hidden="false" customHeight="false" outlineLevel="0" collapsed="false">
      <c r="A304" s="6" t="s">
        <v>406</v>
      </c>
      <c r="B304" s="6" t="s">
        <v>402</v>
      </c>
      <c r="C304" s="6" t="s">
        <v>28</v>
      </c>
      <c r="D304" s="6" t="s">
        <v>33</v>
      </c>
      <c r="E304" s="6" t="s">
        <v>43</v>
      </c>
      <c r="F304" s="6" t="n">
        <v>32.1</v>
      </c>
      <c r="G304" s="6" t="n">
        <v>4.572</v>
      </c>
      <c r="H304" s="6" t="n">
        <v>0.745</v>
      </c>
      <c r="I304" s="6" t="n">
        <v>2786</v>
      </c>
      <c r="J304" s="6" t="n">
        <v>0.843</v>
      </c>
      <c r="K304" s="6" t="n">
        <v>1.53</v>
      </c>
      <c r="L304" s="6" t="n">
        <v>57.7</v>
      </c>
      <c r="M304" s="6" t="n">
        <v>66.2</v>
      </c>
      <c r="N304" s="6" t="s">
        <v>22</v>
      </c>
      <c r="O304" s="7" t="s">
        <v>23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4" min="3" style="0" width="14"/>
    <col collapsed="false" customWidth="true" hidden="false" outlineLevel="0" max="6" min="5" style="0" width="13"/>
    <col collapsed="false" customWidth="true" hidden="false" outlineLevel="0" max="9" min="7" style="0" width="14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3"/>
  </cols>
  <sheetData>
    <row r="1" customFormat="false" ht="21.75" hidden="false" customHeight="true" outlineLevel="0" collapsed="false">
      <c r="A1" s="10" t="s">
        <v>407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15" hidden="false" customHeight="true" outlineLevel="0" collapsed="false">
      <c r="A2" s="11" t="s">
        <v>408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customFormat="false" ht="4.5" hidden="false" customHeight="true" outlineLevel="0" collapsed="false"/>
    <row r="4" customFormat="false" ht="42" hidden="false" customHeight="true" outlineLevel="0" collapsed="false">
      <c r="A4" s="3" t="s">
        <v>3</v>
      </c>
      <c r="B4" s="3" t="s">
        <v>409</v>
      </c>
      <c r="C4" s="3" t="s">
        <v>410</v>
      </c>
      <c r="D4" s="3" t="s">
        <v>411</v>
      </c>
      <c r="E4" s="3" t="s">
        <v>412</v>
      </c>
      <c r="F4" s="3" t="s">
        <v>413</v>
      </c>
      <c r="G4" s="3" t="s">
        <v>414</v>
      </c>
      <c r="H4" s="3" t="s">
        <v>415</v>
      </c>
      <c r="I4" s="3" t="s">
        <v>416</v>
      </c>
      <c r="J4" s="3" t="s">
        <v>417</v>
      </c>
      <c r="K4" s="3" t="s">
        <v>418</v>
      </c>
      <c r="L4" s="3" t="s">
        <v>419</v>
      </c>
    </row>
    <row r="5" customFormat="false" ht="15" hidden="false" customHeight="false" outlineLevel="0" collapsed="false">
      <c r="A5" s="12" t="s">
        <v>18</v>
      </c>
      <c r="B5" s="12" t="s">
        <v>420</v>
      </c>
      <c r="C5" s="12" t="n">
        <v>2807.8</v>
      </c>
      <c r="D5" s="12" t="n">
        <v>159</v>
      </c>
      <c r="E5" s="12" t="n">
        <v>0.852</v>
      </c>
      <c r="F5" s="12" t="n">
        <v>0.048</v>
      </c>
      <c r="G5" s="12" t="n">
        <v>4.504</v>
      </c>
      <c r="H5" s="12" t="n">
        <v>0.209</v>
      </c>
      <c r="I5" s="12" t="n">
        <v>1.8</v>
      </c>
      <c r="J5" s="12" t="n">
        <v>0</v>
      </c>
      <c r="K5" s="12" t="n">
        <v>5</v>
      </c>
      <c r="L5" s="12" t="n">
        <v>0</v>
      </c>
    </row>
    <row r="6" customFormat="false" ht="15" hidden="false" customHeight="false" outlineLevel="0" collapsed="false">
      <c r="A6" s="13" t="s">
        <v>35</v>
      </c>
      <c r="B6" s="13" t="s">
        <v>421</v>
      </c>
      <c r="C6" s="13" t="n">
        <v>2824.4</v>
      </c>
      <c r="D6" s="13" t="n">
        <v>95</v>
      </c>
      <c r="E6" s="13" t="n">
        <v>0.841</v>
      </c>
      <c r="F6" s="13" t="n">
        <v>0.071</v>
      </c>
      <c r="G6" s="13" t="n">
        <v>4.464</v>
      </c>
      <c r="H6" s="13" t="n">
        <v>0.381</v>
      </c>
      <c r="I6" s="13" t="n">
        <v>1.93</v>
      </c>
      <c r="J6" s="13" t="n">
        <v>0</v>
      </c>
      <c r="K6" s="13" t="n">
        <v>5</v>
      </c>
      <c r="L6" s="13" t="n">
        <v>0</v>
      </c>
    </row>
    <row r="7" customFormat="false" ht="15" hidden="false" customHeight="false" outlineLevel="0" collapsed="false">
      <c r="A7" s="12" t="s">
        <v>42</v>
      </c>
      <c r="B7" s="12" t="s">
        <v>421</v>
      </c>
      <c r="C7" s="12" t="n">
        <v>2818.2</v>
      </c>
      <c r="D7" s="12" t="n">
        <v>124</v>
      </c>
      <c r="E7" s="12" t="n">
        <v>0.842</v>
      </c>
      <c r="F7" s="12" t="n">
        <v>0.055</v>
      </c>
      <c r="G7" s="12" t="n">
        <v>4.466</v>
      </c>
      <c r="H7" s="12" t="n">
        <v>0.374</v>
      </c>
      <c r="I7" s="12" t="n">
        <v>1.97</v>
      </c>
      <c r="J7" s="12" t="n">
        <v>0</v>
      </c>
      <c r="K7" s="12" t="n">
        <v>5</v>
      </c>
      <c r="L7" s="12" t="n">
        <v>0</v>
      </c>
    </row>
    <row r="8" customFormat="false" ht="15" hidden="false" customHeight="false" outlineLevel="0" collapsed="false">
      <c r="A8" s="13" t="s">
        <v>49</v>
      </c>
      <c r="B8" s="13" t="s">
        <v>421</v>
      </c>
      <c r="C8" s="13" t="n">
        <v>2759</v>
      </c>
      <c r="D8" s="13" t="n">
        <v>210</v>
      </c>
      <c r="E8" s="13" t="n">
        <v>0.861</v>
      </c>
      <c r="F8" s="13" t="n">
        <v>0.052</v>
      </c>
      <c r="G8" s="13" t="n">
        <v>4.502</v>
      </c>
      <c r="H8" s="13" t="n">
        <v>0.286</v>
      </c>
      <c r="I8" s="13" t="n">
        <v>1.79</v>
      </c>
      <c r="J8" s="13" t="n">
        <v>0</v>
      </c>
      <c r="K8" s="13" t="n">
        <v>5</v>
      </c>
      <c r="L8" s="13" t="n">
        <v>0</v>
      </c>
    </row>
    <row r="9" customFormat="false" ht="15" hidden="false" customHeight="false" outlineLevel="0" collapsed="false">
      <c r="A9" s="12" t="s">
        <v>55</v>
      </c>
      <c r="B9" s="12" t="s">
        <v>422</v>
      </c>
      <c r="C9" s="12" t="n">
        <v>2792.6</v>
      </c>
      <c r="D9" s="12" t="n">
        <v>100</v>
      </c>
      <c r="E9" s="12" t="n">
        <v>0.836</v>
      </c>
      <c r="F9" s="12" t="n">
        <v>0.085</v>
      </c>
      <c r="G9" s="12" t="n">
        <v>4.569</v>
      </c>
      <c r="H9" s="12" t="n">
        <v>0.226</v>
      </c>
      <c r="I9" s="12" t="n">
        <v>2.23</v>
      </c>
      <c r="J9" s="12" t="n">
        <v>0</v>
      </c>
      <c r="K9" s="12" t="n">
        <v>5</v>
      </c>
      <c r="L9" s="12" t="n">
        <v>0</v>
      </c>
    </row>
    <row r="10" customFormat="false" ht="15" hidden="false" customHeight="false" outlineLevel="0" collapsed="false">
      <c r="A10" s="13" t="s">
        <v>61</v>
      </c>
      <c r="B10" s="13" t="s">
        <v>423</v>
      </c>
      <c r="C10" s="13" t="n">
        <v>2802.4</v>
      </c>
      <c r="D10" s="13" t="n">
        <v>84</v>
      </c>
      <c r="E10" s="13" t="n">
        <v>0.839</v>
      </c>
      <c r="F10" s="13" t="n">
        <v>0.092</v>
      </c>
      <c r="G10" s="13" t="n">
        <v>4.495</v>
      </c>
      <c r="H10" s="13" t="n">
        <v>0.319</v>
      </c>
      <c r="I10" s="13" t="n">
        <v>1.95</v>
      </c>
      <c r="J10" s="13" t="n">
        <v>0</v>
      </c>
      <c r="K10" s="13" t="n">
        <v>5</v>
      </c>
      <c r="L10" s="13" t="n">
        <v>0</v>
      </c>
    </row>
    <row r="11" customFormat="false" ht="15" hidden="false" customHeight="false" outlineLevel="0" collapsed="false">
      <c r="A11" s="12" t="s">
        <v>67</v>
      </c>
      <c r="B11" s="12" t="s">
        <v>424</v>
      </c>
      <c r="C11" s="12" t="n">
        <v>2837.8</v>
      </c>
      <c r="D11" s="12" t="n">
        <v>112</v>
      </c>
      <c r="E11" s="12" t="n">
        <v>0.853</v>
      </c>
      <c r="F11" s="12" t="n">
        <v>0.045</v>
      </c>
      <c r="G11" s="12" t="n">
        <v>4.452</v>
      </c>
      <c r="H11" s="12" t="n">
        <v>0.211</v>
      </c>
      <c r="I11" s="12" t="n">
        <v>1.56</v>
      </c>
      <c r="J11" s="12" t="n">
        <v>0</v>
      </c>
      <c r="K11" s="12" t="n">
        <v>5</v>
      </c>
      <c r="L11" s="12" t="n">
        <v>0</v>
      </c>
    </row>
    <row r="12" customFormat="false" ht="15" hidden="false" customHeight="false" outlineLevel="0" collapsed="false">
      <c r="A12" s="13" t="s">
        <v>73</v>
      </c>
      <c r="B12" s="13" t="s">
        <v>425</v>
      </c>
      <c r="C12" s="13" t="n">
        <v>2814.4</v>
      </c>
      <c r="D12" s="13" t="n">
        <v>80</v>
      </c>
      <c r="E12" s="13" t="n">
        <v>0.835</v>
      </c>
      <c r="F12" s="13" t="n">
        <v>0.12</v>
      </c>
      <c r="G12" s="13" t="n">
        <v>4.516</v>
      </c>
      <c r="H12" s="13" t="n">
        <v>0.155</v>
      </c>
      <c r="I12" s="13" t="n">
        <v>1.84</v>
      </c>
      <c r="J12" s="13" t="n">
        <v>0</v>
      </c>
      <c r="K12" s="13" t="n">
        <v>5</v>
      </c>
      <c r="L12" s="13" t="n">
        <v>0</v>
      </c>
    </row>
    <row r="13" customFormat="false" ht="15" hidden="false" customHeight="false" outlineLevel="0" collapsed="false">
      <c r="A13" s="12" t="s">
        <v>79</v>
      </c>
      <c r="B13" s="12" t="s">
        <v>426</v>
      </c>
      <c r="C13" s="12" t="n">
        <v>2808.8</v>
      </c>
      <c r="D13" s="12" t="n">
        <v>70</v>
      </c>
      <c r="E13" s="12" t="n">
        <v>0.855</v>
      </c>
      <c r="F13" s="12" t="n">
        <v>0.059</v>
      </c>
      <c r="G13" s="12" t="n">
        <v>4.555</v>
      </c>
      <c r="H13" s="12" t="n">
        <v>0.327</v>
      </c>
      <c r="I13" s="12" t="n">
        <v>1.92</v>
      </c>
      <c r="J13" s="12" t="n">
        <v>0</v>
      </c>
      <c r="K13" s="12" t="n">
        <v>5</v>
      </c>
      <c r="L13" s="12" t="n">
        <v>0</v>
      </c>
    </row>
    <row r="14" customFormat="false" ht="15" hidden="false" customHeight="false" outlineLevel="0" collapsed="false">
      <c r="A14" s="13" t="s">
        <v>85</v>
      </c>
      <c r="B14" s="13" t="s">
        <v>426</v>
      </c>
      <c r="C14" s="13" t="n">
        <v>2832.2</v>
      </c>
      <c r="D14" s="13" t="n">
        <v>89</v>
      </c>
      <c r="E14" s="13" t="n">
        <v>0.864</v>
      </c>
      <c r="F14" s="13" t="n">
        <v>0.03</v>
      </c>
      <c r="G14" s="13" t="n">
        <v>4.574</v>
      </c>
      <c r="H14" s="13" t="n">
        <v>0.126</v>
      </c>
      <c r="I14" s="13" t="n">
        <v>1.98</v>
      </c>
      <c r="J14" s="13" t="n">
        <v>0</v>
      </c>
      <c r="K14" s="13" t="n">
        <v>5</v>
      </c>
      <c r="L14" s="13" t="n">
        <v>0</v>
      </c>
    </row>
    <row r="15" customFormat="false" ht="15" hidden="false" customHeight="false" outlineLevel="0" collapsed="false">
      <c r="A15" s="12" t="s">
        <v>91</v>
      </c>
      <c r="B15" s="12" t="s">
        <v>426</v>
      </c>
      <c r="C15" s="12" t="n">
        <v>2774.4</v>
      </c>
      <c r="D15" s="12" t="n">
        <v>69</v>
      </c>
      <c r="E15" s="12" t="n">
        <v>0.843</v>
      </c>
      <c r="F15" s="12" t="n">
        <v>0.114</v>
      </c>
      <c r="G15" s="12" t="n">
        <v>4.562</v>
      </c>
      <c r="H15" s="12" t="n">
        <v>0.283</v>
      </c>
      <c r="I15" s="12" t="n">
        <v>1.99</v>
      </c>
      <c r="J15" s="12" t="n">
        <v>0</v>
      </c>
      <c r="K15" s="12" t="n">
        <v>5</v>
      </c>
      <c r="L15" s="12" t="n">
        <v>0</v>
      </c>
    </row>
    <row r="16" customFormat="false" ht="15" hidden="false" customHeight="false" outlineLevel="0" collapsed="false">
      <c r="A16" s="13" t="s">
        <v>97</v>
      </c>
      <c r="B16" s="13" t="s">
        <v>427</v>
      </c>
      <c r="C16" s="13" t="n">
        <v>2808.2</v>
      </c>
      <c r="D16" s="13" t="n">
        <v>125</v>
      </c>
      <c r="E16" s="13" t="n">
        <v>0.868</v>
      </c>
      <c r="F16" s="13" t="n">
        <v>0.089</v>
      </c>
      <c r="G16" s="13" t="n">
        <v>4.53</v>
      </c>
      <c r="H16" s="13" t="n">
        <v>0.27</v>
      </c>
      <c r="I16" s="13" t="n">
        <v>2.11</v>
      </c>
      <c r="J16" s="13" t="n">
        <v>0</v>
      </c>
      <c r="K16" s="13" t="n">
        <v>5</v>
      </c>
      <c r="L16" s="13" t="n">
        <v>0</v>
      </c>
    </row>
    <row r="17" customFormat="false" ht="15" hidden="false" customHeight="false" outlineLevel="0" collapsed="false">
      <c r="A17" s="12" t="s">
        <v>103</v>
      </c>
      <c r="B17" s="12" t="s">
        <v>428</v>
      </c>
      <c r="C17" s="12" t="n">
        <v>2787</v>
      </c>
      <c r="D17" s="12" t="n">
        <v>78</v>
      </c>
      <c r="E17" s="12" t="n">
        <v>0.858</v>
      </c>
      <c r="F17" s="12" t="n">
        <v>0.043</v>
      </c>
      <c r="G17" s="12" t="n">
        <v>4.528</v>
      </c>
      <c r="H17" s="12" t="n">
        <v>0.194</v>
      </c>
      <c r="I17" s="12" t="n">
        <v>2.14</v>
      </c>
      <c r="J17" s="12" t="n">
        <v>0</v>
      </c>
      <c r="K17" s="12" t="n">
        <v>5</v>
      </c>
      <c r="L17" s="12" t="n">
        <v>0</v>
      </c>
    </row>
    <row r="18" customFormat="false" ht="15" hidden="false" customHeight="false" outlineLevel="0" collapsed="false">
      <c r="A18" s="13" t="s">
        <v>109</v>
      </c>
      <c r="B18" s="13" t="s">
        <v>429</v>
      </c>
      <c r="C18" s="13" t="n">
        <v>2797.6</v>
      </c>
      <c r="D18" s="13" t="n">
        <v>131</v>
      </c>
      <c r="E18" s="13" t="n">
        <v>0.854</v>
      </c>
      <c r="F18" s="13" t="n">
        <v>0.104</v>
      </c>
      <c r="G18" s="13" t="n">
        <v>4.482</v>
      </c>
      <c r="H18" s="13" t="n">
        <v>0.225</v>
      </c>
      <c r="I18" s="13" t="n">
        <v>1.88</v>
      </c>
      <c r="J18" s="13" t="n">
        <v>0</v>
      </c>
      <c r="K18" s="13" t="n">
        <v>5</v>
      </c>
      <c r="L18" s="13" t="n">
        <v>0</v>
      </c>
    </row>
    <row r="19" customFormat="false" ht="15" hidden="false" customHeight="false" outlineLevel="0" collapsed="false">
      <c r="A19" s="12" t="s">
        <v>115</v>
      </c>
      <c r="B19" s="12" t="s">
        <v>430</v>
      </c>
      <c r="C19" s="12" t="n">
        <v>2796.8</v>
      </c>
      <c r="D19" s="12" t="n">
        <v>129</v>
      </c>
      <c r="E19" s="12" t="n">
        <v>0.841</v>
      </c>
      <c r="F19" s="12" t="n">
        <v>0.077</v>
      </c>
      <c r="G19" s="12" t="n">
        <v>4.471</v>
      </c>
      <c r="H19" s="12" t="n">
        <v>0.204</v>
      </c>
      <c r="I19" s="12" t="n">
        <v>1.8</v>
      </c>
      <c r="J19" s="12" t="n">
        <v>0</v>
      </c>
      <c r="K19" s="12" t="n">
        <v>5</v>
      </c>
      <c r="L19" s="12" t="n">
        <v>0</v>
      </c>
    </row>
    <row r="20" customFormat="false" ht="15" hidden="false" customHeight="false" outlineLevel="0" collapsed="false">
      <c r="A20" s="13" t="s">
        <v>121</v>
      </c>
      <c r="B20" s="13" t="s">
        <v>431</v>
      </c>
      <c r="C20" s="13" t="n">
        <v>2789.8</v>
      </c>
      <c r="D20" s="13" t="n">
        <v>187</v>
      </c>
      <c r="E20" s="13" t="n">
        <v>0.866</v>
      </c>
      <c r="F20" s="13" t="n">
        <v>0.125</v>
      </c>
      <c r="G20" s="13" t="n">
        <v>4.498</v>
      </c>
      <c r="H20" s="13" t="n">
        <v>0.124</v>
      </c>
      <c r="I20" s="13" t="n">
        <v>2.68</v>
      </c>
      <c r="J20" s="13" t="n">
        <v>2</v>
      </c>
      <c r="K20" s="13" t="n">
        <v>5</v>
      </c>
      <c r="L20" s="13" t="n">
        <v>0.4</v>
      </c>
    </row>
    <row r="21" customFormat="false" ht="15" hidden="false" customHeight="false" outlineLevel="0" collapsed="false">
      <c r="A21" s="12" t="s">
        <v>130</v>
      </c>
      <c r="B21" s="12" t="s">
        <v>431</v>
      </c>
      <c r="C21" s="12" t="n">
        <v>2816.4</v>
      </c>
      <c r="D21" s="12" t="n">
        <v>69</v>
      </c>
      <c r="E21" s="12" t="n">
        <v>0.831</v>
      </c>
      <c r="F21" s="12" t="n">
        <v>0.075</v>
      </c>
      <c r="G21" s="12" t="n">
        <v>4.544</v>
      </c>
      <c r="H21" s="12" t="n">
        <v>0.212</v>
      </c>
      <c r="I21" s="12" t="n">
        <v>2.74</v>
      </c>
      <c r="J21" s="12" t="n">
        <v>1</v>
      </c>
      <c r="K21" s="12" t="n">
        <v>5</v>
      </c>
      <c r="L21" s="12" t="n">
        <v>0.2</v>
      </c>
    </row>
    <row r="22" customFormat="false" ht="15" hidden="false" customHeight="false" outlineLevel="0" collapsed="false">
      <c r="A22" s="13" t="s">
        <v>136</v>
      </c>
      <c r="B22" s="13" t="s">
        <v>431</v>
      </c>
      <c r="C22" s="13" t="n">
        <v>2811.8</v>
      </c>
      <c r="D22" s="13" t="n">
        <v>91</v>
      </c>
      <c r="E22" s="13" t="n">
        <v>0.879</v>
      </c>
      <c r="F22" s="13" t="n">
        <v>0.1</v>
      </c>
      <c r="G22" s="13" t="n">
        <v>4.445</v>
      </c>
      <c r="H22" s="13" t="n">
        <v>0.092</v>
      </c>
      <c r="I22" s="13" t="n">
        <v>2.85</v>
      </c>
      <c r="J22" s="13" t="n">
        <v>2</v>
      </c>
      <c r="K22" s="13" t="n">
        <v>5</v>
      </c>
      <c r="L22" s="13" t="n">
        <v>0.4</v>
      </c>
    </row>
    <row r="23" customFormat="false" ht="15" hidden="false" customHeight="false" outlineLevel="0" collapsed="false">
      <c r="A23" s="12" t="s">
        <v>142</v>
      </c>
      <c r="B23" s="12" t="s">
        <v>432</v>
      </c>
      <c r="C23" s="12" t="n">
        <v>2831.8</v>
      </c>
      <c r="D23" s="12" t="n">
        <v>96</v>
      </c>
      <c r="E23" s="12" t="n">
        <v>0.831</v>
      </c>
      <c r="F23" s="12" t="n">
        <v>0.104</v>
      </c>
      <c r="G23" s="12" t="n">
        <v>4.54</v>
      </c>
      <c r="H23" s="12" t="n">
        <v>0.152</v>
      </c>
      <c r="I23" s="12" t="n">
        <v>2.87</v>
      </c>
      <c r="J23" s="12" t="n">
        <v>2</v>
      </c>
      <c r="K23" s="12" t="n">
        <v>5</v>
      </c>
      <c r="L23" s="12" t="n">
        <v>0.4</v>
      </c>
    </row>
    <row r="24" customFormat="false" ht="15" hidden="false" customHeight="false" outlineLevel="0" collapsed="false">
      <c r="A24" s="13" t="s">
        <v>148</v>
      </c>
      <c r="B24" s="13" t="s">
        <v>433</v>
      </c>
      <c r="C24" s="13" t="n">
        <v>2789.6</v>
      </c>
      <c r="D24" s="13" t="n">
        <v>39</v>
      </c>
      <c r="E24" s="13" t="n">
        <v>0.83</v>
      </c>
      <c r="F24" s="13" t="n">
        <v>0.089</v>
      </c>
      <c r="G24" s="13" t="n">
        <v>4.499</v>
      </c>
      <c r="H24" s="13" t="n">
        <v>0.229</v>
      </c>
      <c r="I24" s="13" t="n">
        <v>2.4</v>
      </c>
      <c r="J24" s="13" t="n">
        <v>1</v>
      </c>
      <c r="K24" s="13" t="n">
        <v>5</v>
      </c>
      <c r="L24" s="13" t="n">
        <v>0.2</v>
      </c>
    </row>
    <row r="25" customFormat="false" ht="15" hidden="false" customHeight="false" outlineLevel="0" collapsed="false">
      <c r="A25" s="12" t="s">
        <v>154</v>
      </c>
      <c r="B25" s="12" t="s">
        <v>434</v>
      </c>
      <c r="C25" s="12" t="n">
        <v>2805.6</v>
      </c>
      <c r="D25" s="12" t="n">
        <v>220</v>
      </c>
      <c r="E25" s="12" t="n">
        <v>0.863</v>
      </c>
      <c r="F25" s="12" t="n">
        <v>0.105</v>
      </c>
      <c r="G25" s="12" t="n">
        <v>4.493</v>
      </c>
      <c r="H25" s="12" t="n">
        <v>0.293</v>
      </c>
      <c r="I25" s="12" t="n">
        <v>2.43</v>
      </c>
      <c r="J25" s="12" t="n">
        <v>2</v>
      </c>
      <c r="K25" s="12" t="n">
        <v>5</v>
      </c>
      <c r="L25" s="12" t="n">
        <v>0.4</v>
      </c>
    </row>
    <row r="26" customFormat="false" ht="15" hidden="false" customHeight="false" outlineLevel="0" collapsed="false">
      <c r="A26" s="13" t="s">
        <v>161</v>
      </c>
      <c r="B26" s="13" t="s">
        <v>435</v>
      </c>
      <c r="C26" s="13" t="n">
        <v>2826.8</v>
      </c>
      <c r="D26" s="13" t="n">
        <v>167</v>
      </c>
      <c r="E26" s="13" t="n">
        <v>0.847</v>
      </c>
      <c r="F26" s="13" t="n">
        <v>0.031</v>
      </c>
      <c r="G26" s="13" t="n">
        <v>4.502</v>
      </c>
      <c r="H26" s="13" t="n">
        <v>0.28</v>
      </c>
      <c r="I26" s="13" t="n">
        <v>2.95</v>
      </c>
      <c r="J26" s="13" t="n">
        <v>2</v>
      </c>
      <c r="K26" s="13" t="n">
        <v>5</v>
      </c>
      <c r="L26" s="13" t="n">
        <v>0.4</v>
      </c>
    </row>
    <row r="27" customFormat="false" ht="15" hidden="false" customHeight="false" outlineLevel="0" collapsed="false">
      <c r="A27" s="12" t="s">
        <v>167</v>
      </c>
      <c r="B27" s="12" t="s">
        <v>436</v>
      </c>
      <c r="C27" s="12" t="n">
        <v>2753.2</v>
      </c>
      <c r="D27" s="12" t="n">
        <v>103</v>
      </c>
      <c r="E27" s="12" t="n">
        <v>0.85</v>
      </c>
      <c r="F27" s="12" t="n">
        <v>0.086</v>
      </c>
      <c r="G27" s="12" t="n">
        <v>4.562</v>
      </c>
      <c r="H27" s="12" t="n">
        <v>0.441</v>
      </c>
      <c r="I27" s="12" t="n">
        <v>2.58</v>
      </c>
      <c r="J27" s="12" t="n">
        <v>1</v>
      </c>
      <c r="K27" s="12" t="n">
        <v>5</v>
      </c>
      <c r="L27" s="12" t="n">
        <v>0.2</v>
      </c>
    </row>
    <row r="28" customFormat="false" ht="15" hidden="false" customHeight="false" outlineLevel="0" collapsed="false">
      <c r="A28" s="13" t="s">
        <v>173</v>
      </c>
      <c r="B28" s="13" t="s">
        <v>436</v>
      </c>
      <c r="C28" s="13" t="n">
        <v>2813</v>
      </c>
      <c r="D28" s="13" t="n">
        <v>160</v>
      </c>
      <c r="E28" s="13" t="n">
        <v>0.837</v>
      </c>
      <c r="F28" s="13" t="n">
        <v>0.047</v>
      </c>
      <c r="G28" s="13" t="n">
        <v>4.474</v>
      </c>
      <c r="H28" s="13" t="n">
        <v>0.315</v>
      </c>
      <c r="I28" s="13" t="n">
        <v>2.91</v>
      </c>
      <c r="J28" s="13" t="n">
        <v>2</v>
      </c>
      <c r="K28" s="13" t="n">
        <v>5</v>
      </c>
      <c r="L28" s="13" t="n">
        <v>0.4</v>
      </c>
    </row>
    <row r="29" customFormat="false" ht="15" hidden="false" customHeight="false" outlineLevel="0" collapsed="false">
      <c r="A29" s="12" t="s">
        <v>179</v>
      </c>
      <c r="B29" s="12" t="s">
        <v>436</v>
      </c>
      <c r="C29" s="12" t="n">
        <v>2757.4</v>
      </c>
      <c r="D29" s="12" t="n">
        <v>166</v>
      </c>
      <c r="E29" s="12" t="n">
        <v>0.825</v>
      </c>
      <c r="F29" s="12" t="n">
        <v>0.13</v>
      </c>
      <c r="G29" s="12" t="n">
        <v>4.422</v>
      </c>
      <c r="H29" s="12" t="n">
        <v>0.126</v>
      </c>
      <c r="I29" s="12" t="n">
        <v>2.59</v>
      </c>
      <c r="J29" s="12" t="n">
        <v>2</v>
      </c>
      <c r="K29" s="12" t="n">
        <v>5</v>
      </c>
      <c r="L29" s="12" t="n">
        <v>0.4</v>
      </c>
    </row>
    <row r="30" customFormat="false" ht="15" hidden="false" customHeight="false" outlineLevel="0" collapsed="false">
      <c r="A30" s="13" t="s">
        <v>185</v>
      </c>
      <c r="B30" s="13" t="s">
        <v>437</v>
      </c>
      <c r="C30" s="13" t="n">
        <v>2793.8</v>
      </c>
      <c r="D30" s="13" t="n">
        <v>186</v>
      </c>
      <c r="E30" s="13" t="n">
        <v>0.851</v>
      </c>
      <c r="F30" s="13" t="n">
        <v>0.08</v>
      </c>
      <c r="G30" s="13" t="n">
        <v>4.489</v>
      </c>
      <c r="H30" s="13" t="n">
        <v>0.208</v>
      </c>
      <c r="I30" s="13" t="n">
        <v>2.45</v>
      </c>
      <c r="J30" s="13" t="n">
        <v>1</v>
      </c>
      <c r="K30" s="13" t="n">
        <v>5</v>
      </c>
      <c r="L30" s="13" t="n">
        <v>0.2</v>
      </c>
    </row>
    <row r="31" customFormat="false" ht="15" hidden="false" customHeight="false" outlineLevel="0" collapsed="false">
      <c r="A31" s="12" t="s">
        <v>191</v>
      </c>
      <c r="B31" s="12" t="s">
        <v>438</v>
      </c>
      <c r="C31" s="12" t="n">
        <v>2787.2</v>
      </c>
      <c r="D31" s="12" t="n">
        <v>137</v>
      </c>
      <c r="E31" s="12" t="n">
        <v>0.84</v>
      </c>
      <c r="F31" s="12" t="n">
        <v>0.121</v>
      </c>
      <c r="G31" s="12" t="n">
        <v>4.558</v>
      </c>
      <c r="H31" s="12" t="n">
        <v>0.06</v>
      </c>
      <c r="I31" s="12" t="n">
        <v>2.72</v>
      </c>
      <c r="J31" s="12" t="n">
        <v>2</v>
      </c>
      <c r="K31" s="12" t="n">
        <v>5</v>
      </c>
      <c r="L31" s="12" t="n">
        <v>0.4</v>
      </c>
    </row>
    <row r="32" customFormat="false" ht="15" hidden="false" customHeight="false" outlineLevel="0" collapsed="false">
      <c r="A32" s="13" t="s">
        <v>197</v>
      </c>
      <c r="B32" s="13" t="s">
        <v>439</v>
      </c>
      <c r="C32" s="13" t="n">
        <v>2786.8</v>
      </c>
      <c r="D32" s="13" t="n">
        <v>91</v>
      </c>
      <c r="E32" s="13" t="n">
        <v>0.834</v>
      </c>
      <c r="F32" s="13" t="n">
        <v>0.12</v>
      </c>
      <c r="G32" s="13" t="n">
        <v>4.49</v>
      </c>
      <c r="H32" s="13" t="n">
        <v>0.184</v>
      </c>
      <c r="I32" s="13" t="n">
        <v>2.67</v>
      </c>
      <c r="J32" s="13" t="n">
        <v>1</v>
      </c>
      <c r="K32" s="13" t="n">
        <v>5</v>
      </c>
      <c r="L32" s="13" t="n">
        <v>0.2</v>
      </c>
    </row>
    <row r="33" customFormat="false" ht="15" hidden="false" customHeight="false" outlineLevel="0" collapsed="false">
      <c r="A33" s="12" t="s">
        <v>203</v>
      </c>
      <c r="B33" s="12" t="s">
        <v>440</v>
      </c>
      <c r="C33" s="12" t="n">
        <v>2797</v>
      </c>
      <c r="D33" s="12" t="n">
        <v>131</v>
      </c>
      <c r="E33" s="12" t="n">
        <v>0.856</v>
      </c>
      <c r="F33" s="12" t="n">
        <v>0.109</v>
      </c>
      <c r="G33" s="12" t="n">
        <v>4.49</v>
      </c>
      <c r="H33" s="12" t="n">
        <v>0.287</v>
      </c>
      <c r="I33" s="12" t="n">
        <v>2.18</v>
      </c>
      <c r="J33" s="12" t="n">
        <v>1</v>
      </c>
      <c r="K33" s="12" t="n">
        <v>5</v>
      </c>
      <c r="L33" s="12" t="n">
        <v>0.2</v>
      </c>
    </row>
    <row r="34" customFormat="false" ht="15" hidden="false" customHeight="false" outlineLevel="0" collapsed="false">
      <c r="A34" s="13" t="s">
        <v>209</v>
      </c>
      <c r="B34" s="13" t="s">
        <v>441</v>
      </c>
      <c r="C34" s="13" t="n">
        <v>2806.2</v>
      </c>
      <c r="D34" s="13" t="n">
        <v>238</v>
      </c>
      <c r="E34" s="13" t="n">
        <v>0.883</v>
      </c>
      <c r="F34" s="13" t="n">
        <v>0.112</v>
      </c>
      <c r="G34" s="13" t="n">
        <v>4.538</v>
      </c>
      <c r="H34" s="13" t="n">
        <v>0.23</v>
      </c>
      <c r="I34" s="13" t="n">
        <v>3.08</v>
      </c>
      <c r="J34" s="13" t="n">
        <v>3</v>
      </c>
      <c r="K34" s="13" t="n">
        <v>5</v>
      </c>
      <c r="L34" s="13" t="n">
        <v>0.6</v>
      </c>
    </row>
    <row r="35" customFormat="false" ht="15" hidden="false" customHeight="false" outlineLevel="0" collapsed="false">
      <c r="A35" s="12" t="s">
        <v>216</v>
      </c>
      <c r="B35" s="12" t="s">
        <v>441</v>
      </c>
      <c r="C35" s="12" t="n">
        <v>2655.6</v>
      </c>
      <c r="D35" s="12" t="n">
        <v>264</v>
      </c>
      <c r="E35" s="12" t="n">
        <v>0.805</v>
      </c>
      <c r="F35" s="12" t="n">
        <v>0.128</v>
      </c>
      <c r="G35" s="12" t="n">
        <v>4.562</v>
      </c>
      <c r="H35" s="12" t="n">
        <v>0.279</v>
      </c>
      <c r="I35" s="12" t="n">
        <v>1.65</v>
      </c>
      <c r="J35" s="12" t="n">
        <v>1</v>
      </c>
      <c r="K35" s="12" t="n">
        <v>5</v>
      </c>
      <c r="L35" s="12" t="n">
        <v>0.2</v>
      </c>
    </row>
    <row r="36" customFormat="false" ht="15" hidden="false" customHeight="false" outlineLevel="0" collapsed="false">
      <c r="A36" s="13" t="s">
        <v>223</v>
      </c>
      <c r="B36" s="13" t="s">
        <v>441</v>
      </c>
      <c r="C36" s="13" t="n">
        <v>2695.8</v>
      </c>
      <c r="D36" s="13" t="n">
        <v>145</v>
      </c>
      <c r="E36" s="13" t="n">
        <v>0.773</v>
      </c>
      <c r="F36" s="13" t="n">
        <v>0.093</v>
      </c>
      <c r="G36" s="13" t="n">
        <v>4.443</v>
      </c>
      <c r="H36" s="13" t="n">
        <v>0.095</v>
      </c>
      <c r="I36" s="13" t="n">
        <v>1.93</v>
      </c>
      <c r="J36" s="13" t="n">
        <v>2</v>
      </c>
      <c r="K36" s="13" t="n">
        <v>5</v>
      </c>
      <c r="L36" s="13" t="n">
        <v>0.4</v>
      </c>
    </row>
    <row r="37" customFormat="false" ht="15" hidden="false" customHeight="false" outlineLevel="0" collapsed="false">
      <c r="A37" s="12" t="s">
        <v>230</v>
      </c>
      <c r="B37" s="12" t="s">
        <v>442</v>
      </c>
      <c r="C37" s="12" t="n">
        <v>2651.6</v>
      </c>
      <c r="D37" s="12" t="n">
        <v>227</v>
      </c>
      <c r="E37" s="12" t="n">
        <v>0.741</v>
      </c>
      <c r="F37" s="12" t="n">
        <v>0.089</v>
      </c>
      <c r="G37" s="12" t="n">
        <v>4.572</v>
      </c>
      <c r="H37" s="12" t="n">
        <v>0.172</v>
      </c>
      <c r="I37" s="12" t="n">
        <v>1.85</v>
      </c>
      <c r="J37" s="12" t="n">
        <v>4</v>
      </c>
      <c r="K37" s="12" t="n">
        <v>5</v>
      </c>
      <c r="L37" s="12" t="n">
        <v>0.8</v>
      </c>
    </row>
    <row r="38" customFormat="false" ht="15" hidden="false" customHeight="false" outlineLevel="0" collapsed="false">
      <c r="A38" s="13" t="s">
        <v>237</v>
      </c>
      <c r="B38" s="13" t="s">
        <v>443</v>
      </c>
      <c r="C38" s="13" t="n">
        <v>2647.4</v>
      </c>
      <c r="D38" s="13" t="n">
        <v>220</v>
      </c>
      <c r="E38" s="13" t="n">
        <v>0.766</v>
      </c>
      <c r="F38" s="13" t="n">
        <v>0.128</v>
      </c>
      <c r="G38" s="13" t="n">
        <v>4.526</v>
      </c>
      <c r="H38" s="13" t="n">
        <v>0.145</v>
      </c>
      <c r="I38" s="13" t="n">
        <v>1.98</v>
      </c>
      <c r="J38" s="13" t="n">
        <v>2</v>
      </c>
      <c r="K38" s="13" t="n">
        <v>5</v>
      </c>
      <c r="L38" s="13" t="n">
        <v>0.4</v>
      </c>
    </row>
    <row r="39" customFormat="false" ht="15" hidden="false" customHeight="false" outlineLevel="0" collapsed="false">
      <c r="A39" s="12" t="s">
        <v>243</v>
      </c>
      <c r="B39" s="12" t="s">
        <v>444</v>
      </c>
      <c r="C39" s="12" t="n">
        <v>2668.6</v>
      </c>
      <c r="D39" s="12" t="n">
        <v>143</v>
      </c>
      <c r="E39" s="12" t="n">
        <v>0.778</v>
      </c>
      <c r="F39" s="12" t="n">
        <v>0.072</v>
      </c>
      <c r="G39" s="12" t="n">
        <v>4.508</v>
      </c>
      <c r="H39" s="12" t="n">
        <v>0.252</v>
      </c>
      <c r="I39" s="12" t="n">
        <v>2.07</v>
      </c>
      <c r="J39" s="12" t="n">
        <v>2</v>
      </c>
      <c r="K39" s="12" t="n">
        <v>5</v>
      </c>
      <c r="L39" s="12" t="n">
        <v>0.4</v>
      </c>
    </row>
    <row r="40" customFormat="false" ht="15" hidden="false" customHeight="false" outlineLevel="0" collapsed="false">
      <c r="A40" s="13" t="s">
        <v>250</v>
      </c>
      <c r="B40" s="13" t="s">
        <v>445</v>
      </c>
      <c r="C40" s="13" t="n">
        <v>2611</v>
      </c>
      <c r="D40" s="13" t="n">
        <v>133</v>
      </c>
      <c r="E40" s="13" t="n">
        <v>0.703</v>
      </c>
      <c r="F40" s="13" t="n">
        <v>0.156</v>
      </c>
      <c r="G40" s="13" t="n">
        <v>4.503</v>
      </c>
      <c r="H40" s="13" t="n">
        <v>0.316</v>
      </c>
      <c r="I40" s="13" t="n">
        <v>1.78</v>
      </c>
      <c r="J40" s="13" t="n">
        <v>4</v>
      </c>
      <c r="K40" s="13" t="n">
        <v>5</v>
      </c>
      <c r="L40" s="13" t="n">
        <v>0.8</v>
      </c>
    </row>
    <row r="41" customFormat="false" ht="15" hidden="false" customHeight="false" outlineLevel="0" collapsed="false">
      <c r="A41" s="12" t="s">
        <v>256</v>
      </c>
      <c r="B41" s="12" t="s">
        <v>446</v>
      </c>
      <c r="C41" s="12" t="n">
        <v>2666.8</v>
      </c>
      <c r="D41" s="12" t="n">
        <v>232</v>
      </c>
      <c r="E41" s="12" t="n">
        <v>0.761</v>
      </c>
      <c r="F41" s="12" t="n">
        <v>0.111</v>
      </c>
      <c r="G41" s="12" t="n">
        <v>4.468</v>
      </c>
      <c r="H41" s="12" t="n">
        <v>0.202</v>
      </c>
      <c r="I41" s="12" t="n">
        <v>2.06</v>
      </c>
      <c r="J41" s="12" t="n">
        <v>4</v>
      </c>
      <c r="K41" s="12" t="n">
        <v>5</v>
      </c>
      <c r="L41" s="12" t="n">
        <v>0.8</v>
      </c>
    </row>
    <row r="42" customFormat="false" ht="15" hidden="false" customHeight="false" outlineLevel="0" collapsed="false">
      <c r="A42" s="13" t="s">
        <v>262</v>
      </c>
      <c r="B42" s="13" t="s">
        <v>446</v>
      </c>
      <c r="C42" s="13" t="n">
        <v>2630.6</v>
      </c>
      <c r="D42" s="13" t="n">
        <v>136</v>
      </c>
      <c r="E42" s="13" t="n">
        <v>0.788</v>
      </c>
      <c r="F42" s="13" t="n">
        <v>0.167</v>
      </c>
      <c r="G42" s="13" t="n">
        <v>4.496</v>
      </c>
      <c r="H42" s="13" t="n">
        <v>0.273</v>
      </c>
      <c r="I42" s="13" t="n">
        <v>1.84</v>
      </c>
      <c r="J42" s="13" t="n">
        <v>2</v>
      </c>
      <c r="K42" s="13" t="n">
        <v>5</v>
      </c>
      <c r="L42" s="13" t="n">
        <v>0.4</v>
      </c>
    </row>
    <row r="43" customFormat="false" ht="15" hidden="false" customHeight="false" outlineLevel="0" collapsed="false">
      <c r="A43" s="12" t="s">
        <v>268</v>
      </c>
      <c r="B43" s="12" t="s">
        <v>446</v>
      </c>
      <c r="C43" s="12" t="n">
        <v>2628.8</v>
      </c>
      <c r="D43" s="12" t="n">
        <v>61</v>
      </c>
      <c r="E43" s="12" t="n">
        <v>0.767</v>
      </c>
      <c r="F43" s="12" t="n">
        <v>0.202</v>
      </c>
      <c r="G43" s="12" t="n">
        <v>4.512</v>
      </c>
      <c r="H43" s="12" t="n">
        <v>0.251</v>
      </c>
      <c r="I43" s="12" t="n">
        <v>2.28</v>
      </c>
      <c r="J43" s="12" t="n">
        <v>2</v>
      </c>
      <c r="K43" s="12" t="n">
        <v>5</v>
      </c>
      <c r="L43" s="12" t="n">
        <v>0.4</v>
      </c>
    </row>
    <row r="44" customFormat="false" ht="15" hidden="false" customHeight="false" outlineLevel="0" collapsed="false">
      <c r="A44" s="13" t="s">
        <v>274</v>
      </c>
      <c r="B44" s="13" t="s">
        <v>447</v>
      </c>
      <c r="C44" s="13" t="n">
        <v>2641</v>
      </c>
      <c r="D44" s="13" t="n">
        <v>208</v>
      </c>
      <c r="E44" s="13" t="n">
        <v>0.775</v>
      </c>
      <c r="F44" s="13" t="n">
        <v>0.142</v>
      </c>
      <c r="G44" s="13" t="n">
        <v>4.496</v>
      </c>
      <c r="H44" s="13" t="n">
        <v>0.291</v>
      </c>
      <c r="I44" s="13" t="n">
        <v>1.73</v>
      </c>
      <c r="J44" s="13" t="n">
        <v>3</v>
      </c>
      <c r="K44" s="13" t="n">
        <v>5</v>
      </c>
      <c r="L44" s="13" t="n">
        <v>0.6</v>
      </c>
    </row>
    <row r="45" customFormat="false" ht="15" hidden="false" customHeight="false" outlineLevel="0" collapsed="false">
      <c r="A45" s="12" t="s">
        <v>280</v>
      </c>
      <c r="B45" s="12" t="s">
        <v>448</v>
      </c>
      <c r="C45" s="12" t="n">
        <v>2643</v>
      </c>
      <c r="D45" s="12" t="n">
        <v>233</v>
      </c>
      <c r="E45" s="12" t="n">
        <v>0.735</v>
      </c>
      <c r="F45" s="12" t="n">
        <v>0.126</v>
      </c>
      <c r="G45" s="12" t="n">
        <v>4.522</v>
      </c>
      <c r="H45" s="12" t="n">
        <v>0.119</v>
      </c>
      <c r="I45" s="12" t="n">
        <v>2.01</v>
      </c>
      <c r="J45" s="12" t="n">
        <v>4</v>
      </c>
      <c r="K45" s="12" t="n">
        <v>5</v>
      </c>
      <c r="L45" s="12" t="n">
        <v>0.8</v>
      </c>
    </row>
    <row r="46" customFormat="false" ht="15" hidden="false" customHeight="false" outlineLevel="0" collapsed="false">
      <c r="A46" s="13" t="s">
        <v>287</v>
      </c>
      <c r="B46" s="13" t="s">
        <v>449</v>
      </c>
      <c r="C46" s="13" t="n">
        <v>2650</v>
      </c>
      <c r="D46" s="13" t="n">
        <v>86</v>
      </c>
      <c r="E46" s="13" t="n">
        <v>0.735</v>
      </c>
      <c r="F46" s="13" t="n">
        <v>0.134</v>
      </c>
      <c r="G46" s="13" t="n">
        <v>4.433</v>
      </c>
      <c r="H46" s="13" t="n">
        <v>0.201</v>
      </c>
      <c r="I46" s="13" t="n">
        <v>1.89</v>
      </c>
      <c r="J46" s="13" t="n">
        <v>3</v>
      </c>
      <c r="K46" s="13" t="n">
        <v>5</v>
      </c>
      <c r="L46" s="13" t="n">
        <v>0.6</v>
      </c>
    </row>
    <row r="47" customFormat="false" ht="15" hidden="false" customHeight="false" outlineLevel="0" collapsed="false">
      <c r="A47" s="12" t="s">
        <v>293</v>
      </c>
      <c r="B47" s="12" t="s">
        <v>450</v>
      </c>
      <c r="C47" s="12" t="n">
        <v>2704.6</v>
      </c>
      <c r="D47" s="12" t="n">
        <v>193</v>
      </c>
      <c r="E47" s="12" t="n">
        <v>0.73</v>
      </c>
      <c r="F47" s="12" t="n">
        <v>0.175</v>
      </c>
      <c r="G47" s="12" t="n">
        <v>4.463</v>
      </c>
      <c r="H47" s="12" t="n">
        <v>0.198</v>
      </c>
      <c r="I47" s="12" t="n">
        <v>1.64</v>
      </c>
      <c r="J47" s="12" t="n">
        <v>3</v>
      </c>
      <c r="K47" s="12" t="n">
        <v>5</v>
      </c>
      <c r="L47" s="12" t="n">
        <v>0.6</v>
      </c>
    </row>
    <row r="48" customFormat="false" ht="15" hidden="false" customHeight="false" outlineLevel="0" collapsed="false">
      <c r="A48" s="13" t="s">
        <v>299</v>
      </c>
      <c r="B48" s="13" t="s">
        <v>451</v>
      </c>
      <c r="C48" s="13" t="n">
        <v>2616.6</v>
      </c>
      <c r="D48" s="13" t="n">
        <v>230</v>
      </c>
      <c r="E48" s="13" t="n">
        <v>0.82</v>
      </c>
      <c r="F48" s="13" t="n">
        <v>0.078</v>
      </c>
      <c r="G48" s="13" t="n">
        <v>4.525</v>
      </c>
      <c r="H48" s="13" t="n">
        <v>0.202</v>
      </c>
      <c r="I48" s="13" t="n">
        <v>1.97</v>
      </c>
      <c r="J48" s="13" t="n">
        <v>2</v>
      </c>
      <c r="K48" s="13" t="n">
        <v>5</v>
      </c>
      <c r="L48" s="13" t="n">
        <v>0.4</v>
      </c>
    </row>
    <row r="49" customFormat="false" ht="15" hidden="false" customHeight="false" outlineLevel="0" collapsed="false">
      <c r="A49" s="12" t="s">
        <v>305</v>
      </c>
      <c r="B49" s="12" t="s">
        <v>451</v>
      </c>
      <c r="C49" s="12" t="n">
        <v>2722.8</v>
      </c>
      <c r="D49" s="12" t="n">
        <v>228</v>
      </c>
      <c r="E49" s="12" t="n">
        <v>0.726</v>
      </c>
      <c r="F49" s="12" t="n">
        <v>0.083</v>
      </c>
      <c r="G49" s="12" t="n">
        <v>4.484</v>
      </c>
      <c r="H49" s="12" t="n">
        <v>0.151</v>
      </c>
      <c r="I49" s="12" t="n">
        <v>2</v>
      </c>
      <c r="J49" s="12" t="n">
        <v>3</v>
      </c>
      <c r="K49" s="12" t="n">
        <v>5</v>
      </c>
      <c r="L49" s="12" t="n">
        <v>0.6</v>
      </c>
    </row>
    <row r="50" customFormat="false" ht="15" hidden="false" customHeight="false" outlineLevel="0" collapsed="false">
      <c r="A50" s="13" t="s">
        <v>311</v>
      </c>
      <c r="B50" s="13" t="s">
        <v>451</v>
      </c>
      <c r="C50" s="13" t="n">
        <v>2803.4</v>
      </c>
      <c r="D50" s="13" t="n">
        <v>71</v>
      </c>
      <c r="E50" s="13" t="n">
        <v>0.861</v>
      </c>
      <c r="F50" s="13" t="n">
        <v>0.103</v>
      </c>
      <c r="G50" s="13" t="n">
        <v>4.581</v>
      </c>
      <c r="H50" s="13" t="n">
        <v>0.617</v>
      </c>
      <c r="I50" s="13" t="n">
        <v>1.84</v>
      </c>
      <c r="J50" s="13" t="n">
        <v>2</v>
      </c>
      <c r="K50" s="13" t="n">
        <v>5</v>
      </c>
      <c r="L50" s="13" t="n">
        <v>0.4</v>
      </c>
    </row>
    <row r="51" customFormat="false" ht="15" hidden="false" customHeight="false" outlineLevel="0" collapsed="false">
      <c r="A51" s="12" t="s">
        <v>318</v>
      </c>
      <c r="B51" s="12" t="s">
        <v>452</v>
      </c>
      <c r="C51" s="12" t="n">
        <v>2837</v>
      </c>
      <c r="D51" s="12" t="n">
        <v>194</v>
      </c>
      <c r="E51" s="12" t="n">
        <v>0.861</v>
      </c>
      <c r="F51" s="12" t="n">
        <v>0.043</v>
      </c>
      <c r="G51" s="12" t="n">
        <v>4.714</v>
      </c>
      <c r="H51" s="12" t="n">
        <v>0.306</v>
      </c>
      <c r="I51" s="12" t="n">
        <v>1.96</v>
      </c>
      <c r="J51" s="12" t="n">
        <v>4</v>
      </c>
      <c r="K51" s="12" t="n">
        <v>5</v>
      </c>
      <c r="L51" s="12" t="n">
        <v>0.8</v>
      </c>
    </row>
    <row r="52" customFormat="false" ht="15" hidden="false" customHeight="false" outlineLevel="0" collapsed="false">
      <c r="A52" s="13" t="s">
        <v>326</v>
      </c>
      <c r="B52" s="13" t="s">
        <v>453</v>
      </c>
      <c r="C52" s="13" t="n">
        <v>2843.4</v>
      </c>
      <c r="D52" s="13" t="n">
        <v>143</v>
      </c>
      <c r="E52" s="13" t="n">
        <v>0.888</v>
      </c>
      <c r="F52" s="13" t="n">
        <v>0.045</v>
      </c>
      <c r="G52" s="13" t="n">
        <v>4.455</v>
      </c>
      <c r="H52" s="13" t="n">
        <v>0.458</v>
      </c>
      <c r="I52" s="13" t="n">
        <v>1.95</v>
      </c>
      <c r="J52" s="13" t="n">
        <v>4</v>
      </c>
      <c r="K52" s="13" t="n">
        <v>5</v>
      </c>
      <c r="L52" s="13" t="n">
        <v>0.8</v>
      </c>
    </row>
    <row r="53" customFormat="false" ht="15" hidden="false" customHeight="false" outlineLevel="0" collapsed="false">
      <c r="A53" s="12" t="s">
        <v>333</v>
      </c>
      <c r="B53" s="12" t="s">
        <v>454</v>
      </c>
      <c r="C53" s="12" t="n">
        <v>2792</v>
      </c>
      <c r="D53" s="12" t="n">
        <v>153</v>
      </c>
      <c r="E53" s="12" t="n">
        <v>0.863</v>
      </c>
      <c r="F53" s="12" t="n">
        <v>0.072</v>
      </c>
      <c r="G53" s="12" t="n">
        <v>4.537</v>
      </c>
      <c r="H53" s="12" t="n">
        <v>0.749</v>
      </c>
      <c r="I53" s="12" t="n">
        <v>1.92</v>
      </c>
      <c r="J53" s="12" t="n">
        <v>3</v>
      </c>
      <c r="K53" s="12" t="n">
        <v>5</v>
      </c>
      <c r="L53" s="12" t="n">
        <v>0.6</v>
      </c>
    </row>
    <row r="54" customFormat="false" ht="15" hidden="false" customHeight="false" outlineLevel="0" collapsed="false">
      <c r="A54" s="13" t="s">
        <v>340</v>
      </c>
      <c r="B54" s="13" t="s">
        <v>455</v>
      </c>
      <c r="C54" s="13" t="n">
        <v>2816.8</v>
      </c>
      <c r="D54" s="13" t="n">
        <v>96</v>
      </c>
      <c r="E54" s="13" t="n">
        <v>0.832</v>
      </c>
      <c r="F54" s="13" t="n">
        <v>0.135</v>
      </c>
      <c r="G54" s="13" t="n">
        <v>4.671</v>
      </c>
      <c r="H54" s="13" t="n">
        <v>0.488</v>
      </c>
      <c r="I54" s="13" t="n">
        <v>1.94</v>
      </c>
      <c r="J54" s="13" t="n">
        <v>4</v>
      </c>
      <c r="K54" s="13" t="n">
        <v>5</v>
      </c>
      <c r="L54" s="13" t="n">
        <v>0.8</v>
      </c>
    </row>
    <row r="55" customFormat="false" ht="15" hidden="false" customHeight="false" outlineLevel="0" collapsed="false">
      <c r="A55" s="12" t="s">
        <v>346</v>
      </c>
      <c r="B55" s="12" t="s">
        <v>456</v>
      </c>
      <c r="C55" s="12" t="n">
        <v>2786</v>
      </c>
      <c r="D55" s="12" t="n">
        <v>162</v>
      </c>
      <c r="E55" s="12" t="n">
        <v>0.832</v>
      </c>
      <c r="F55" s="12" t="n">
        <v>0.012</v>
      </c>
      <c r="G55" s="12" t="n">
        <v>4.679</v>
      </c>
      <c r="H55" s="12" t="n">
        <v>0.287</v>
      </c>
      <c r="I55" s="12" t="n">
        <v>1.77</v>
      </c>
      <c r="J55" s="12" t="n">
        <v>5</v>
      </c>
      <c r="K55" s="12" t="n">
        <v>5</v>
      </c>
      <c r="L55" s="12" t="n">
        <v>1</v>
      </c>
    </row>
    <row r="56" customFormat="false" ht="15" hidden="false" customHeight="false" outlineLevel="0" collapsed="false">
      <c r="A56" s="13" t="s">
        <v>352</v>
      </c>
      <c r="B56" s="13" t="s">
        <v>456</v>
      </c>
      <c r="C56" s="13" t="n">
        <v>2781.8</v>
      </c>
      <c r="D56" s="13" t="n">
        <v>105</v>
      </c>
      <c r="E56" s="13" t="n">
        <v>0.841</v>
      </c>
      <c r="F56" s="13" t="n">
        <v>0.084</v>
      </c>
      <c r="G56" s="13" t="n">
        <v>4.658</v>
      </c>
      <c r="H56" s="13" t="n">
        <v>0.449</v>
      </c>
      <c r="I56" s="13" t="n">
        <v>1.78</v>
      </c>
      <c r="J56" s="13" t="n">
        <v>4</v>
      </c>
      <c r="K56" s="13" t="n">
        <v>5</v>
      </c>
      <c r="L56" s="13" t="n">
        <v>0.8</v>
      </c>
    </row>
    <row r="57" customFormat="false" ht="15" hidden="false" customHeight="false" outlineLevel="0" collapsed="false">
      <c r="A57" s="12" t="s">
        <v>359</v>
      </c>
      <c r="B57" s="12" t="s">
        <v>456</v>
      </c>
      <c r="C57" s="12" t="n">
        <v>2793.8</v>
      </c>
      <c r="D57" s="12" t="n">
        <v>154</v>
      </c>
      <c r="E57" s="12" t="n">
        <v>0.867</v>
      </c>
      <c r="F57" s="12" t="n">
        <v>0.131</v>
      </c>
      <c r="G57" s="12" t="n">
        <v>4.811</v>
      </c>
      <c r="H57" s="12" t="n">
        <v>0.401</v>
      </c>
      <c r="I57" s="12" t="n">
        <v>1.86</v>
      </c>
      <c r="J57" s="12" t="n">
        <v>3</v>
      </c>
      <c r="K57" s="12" t="n">
        <v>5</v>
      </c>
      <c r="L57" s="12" t="n">
        <v>0.6</v>
      </c>
    </row>
    <row r="58" customFormat="false" ht="15" hidden="false" customHeight="false" outlineLevel="0" collapsed="false">
      <c r="A58" s="13" t="s">
        <v>365</v>
      </c>
      <c r="B58" s="13" t="s">
        <v>457</v>
      </c>
      <c r="C58" s="13" t="n">
        <v>2823.4</v>
      </c>
      <c r="D58" s="13" t="n">
        <v>97</v>
      </c>
      <c r="E58" s="13" t="n">
        <v>0.906</v>
      </c>
      <c r="F58" s="13" t="n">
        <v>0.102</v>
      </c>
      <c r="G58" s="13" t="n">
        <v>4.715</v>
      </c>
      <c r="H58" s="13" t="n">
        <v>0.575</v>
      </c>
      <c r="I58" s="13" t="n">
        <v>1.92</v>
      </c>
      <c r="J58" s="13" t="n">
        <v>5</v>
      </c>
      <c r="K58" s="13" t="n">
        <v>5</v>
      </c>
      <c r="L58" s="13" t="n">
        <v>1</v>
      </c>
    </row>
    <row r="59" customFormat="false" ht="15" hidden="false" customHeight="false" outlineLevel="0" collapsed="false">
      <c r="A59" s="12" t="s">
        <v>371</v>
      </c>
      <c r="B59" s="12" t="s">
        <v>458</v>
      </c>
      <c r="C59" s="12" t="n">
        <v>2745.8</v>
      </c>
      <c r="D59" s="12" t="n">
        <v>70</v>
      </c>
      <c r="E59" s="12" t="n">
        <v>0.835</v>
      </c>
      <c r="F59" s="12" t="n">
        <v>0.062</v>
      </c>
      <c r="G59" s="12" t="n">
        <v>4.601</v>
      </c>
      <c r="H59" s="12" t="n">
        <v>0.52</v>
      </c>
      <c r="I59" s="12" t="n">
        <v>1.72</v>
      </c>
      <c r="J59" s="12" t="n">
        <v>4</v>
      </c>
      <c r="K59" s="12" t="n">
        <v>5</v>
      </c>
      <c r="L59" s="12" t="n">
        <v>0.8</v>
      </c>
    </row>
    <row r="60" customFormat="false" ht="15" hidden="false" customHeight="false" outlineLevel="0" collapsed="false">
      <c r="A60" s="13" t="s">
        <v>378</v>
      </c>
      <c r="B60" s="13" t="s">
        <v>459</v>
      </c>
      <c r="C60" s="13" t="n">
        <v>2814.2</v>
      </c>
      <c r="D60" s="13" t="n">
        <v>186</v>
      </c>
      <c r="E60" s="13" t="n">
        <v>0.913</v>
      </c>
      <c r="F60" s="13" t="n">
        <v>0.091</v>
      </c>
      <c r="G60" s="13" t="n">
        <v>4.576</v>
      </c>
      <c r="H60" s="13" t="n">
        <v>0.447</v>
      </c>
      <c r="I60" s="13" t="n">
        <v>1.55</v>
      </c>
      <c r="J60" s="13" t="n">
        <v>4</v>
      </c>
      <c r="K60" s="13" t="n">
        <v>5</v>
      </c>
      <c r="L60" s="13" t="n">
        <v>0.8</v>
      </c>
    </row>
    <row r="61" customFormat="false" ht="15" hidden="false" customHeight="false" outlineLevel="0" collapsed="false">
      <c r="A61" s="12" t="s">
        <v>384</v>
      </c>
      <c r="B61" s="12" t="s">
        <v>460</v>
      </c>
      <c r="C61" s="12" t="n">
        <v>2779.4</v>
      </c>
      <c r="D61" s="12" t="n">
        <v>113</v>
      </c>
      <c r="E61" s="12" t="n">
        <v>0.845</v>
      </c>
      <c r="F61" s="12" t="n">
        <v>0.122</v>
      </c>
      <c r="G61" s="12" t="n">
        <v>4.684</v>
      </c>
      <c r="H61" s="12" t="n">
        <v>0.594</v>
      </c>
      <c r="I61" s="12" t="n">
        <v>1.81</v>
      </c>
      <c r="J61" s="12" t="n">
        <v>2</v>
      </c>
      <c r="K61" s="12" t="n">
        <v>5</v>
      </c>
      <c r="L61" s="12" t="n">
        <v>0.4</v>
      </c>
    </row>
    <row r="62" customFormat="false" ht="15" hidden="false" customHeight="false" outlineLevel="0" collapsed="false">
      <c r="A62" s="13" t="s">
        <v>390</v>
      </c>
      <c r="B62" s="13" t="s">
        <v>461</v>
      </c>
      <c r="C62" s="13" t="n">
        <v>2791.4</v>
      </c>
      <c r="D62" s="13" t="n">
        <v>166</v>
      </c>
      <c r="E62" s="13" t="n">
        <v>0.875</v>
      </c>
      <c r="F62" s="13" t="n">
        <v>0.161</v>
      </c>
      <c r="G62" s="13" t="n">
        <v>4.552</v>
      </c>
      <c r="H62" s="13" t="n">
        <v>0.452</v>
      </c>
      <c r="I62" s="13" t="n">
        <v>1.86</v>
      </c>
      <c r="J62" s="13" t="n">
        <v>5</v>
      </c>
      <c r="K62" s="13" t="n">
        <v>5</v>
      </c>
      <c r="L62" s="13" t="n">
        <v>1</v>
      </c>
    </row>
    <row r="63" customFormat="false" ht="15" hidden="false" customHeight="false" outlineLevel="0" collapsed="false">
      <c r="A63" s="12" t="s">
        <v>396</v>
      </c>
      <c r="B63" s="12" t="s">
        <v>461</v>
      </c>
      <c r="C63" s="12" t="n">
        <v>2801.6</v>
      </c>
      <c r="D63" s="12" t="n">
        <v>171</v>
      </c>
      <c r="E63" s="12" t="n">
        <v>0.854</v>
      </c>
      <c r="F63" s="12" t="n">
        <v>0.149</v>
      </c>
      <c r="G63" s="12" t="n">
        <v>4.651</v>
      </c>
      <c r="H63" s="12" t="n">
        <v>0.816</v>
      </c>
      <c r="I63" s="12" t="n">
        <v>2.02</v>
      </c>
      <c r="J63" s="12" t="n">
        <v>3</v>
      </c>
      <c r="K63" s="12" t="n">
        <v>5</v>
      </c>
      <c r="L63" s="12" t="n">
        <v>0.6</v>
      </c>
    </row>
    <row r="64" customFormat="false" ht="15" hidden="false" customHeight="false" outlineLevel="0" collapsed="false">
      <c r="A64" s="13" t="s">
        <v>402</v>
      </c>
      <c r="B64" s="13" t="s">
        <v>461</v>
      </c>
      <c r="C64" s="13" t="n">
        <v>2824</v>
      </c>
      <c r="D64" s="13" t="n">
        <v>154</v>
      </c>
      <c r="E64" s="13" t="n">
        <v>0.852</v>
      </c>
      <c r="F64" s="13" t="n">
        <v>0.134</v>
      </c>
      <c r="G64" s="13" t="n">
        <v>4.628</v>
      </c>
      <c r="H64" s="13" t="n">
        <v>0.303</v>
      </c>
      <c r="I64" s="13" t="n">
        <v>2.31</v>
      </c>
      <c r="J64" s="13" t="n">
        <v>2</v>
      </c>
      <c r="K64" s="13" t="n">
        <v>5</v>
      </c>
      <c r="L64" s="13" t="n">
        <v>0.4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18"/>
  </cols>
  <sheetData>
    <row r="1" customFormat="false" ht="21.75" hidden="false" customHeight="true" outlineLevel="0" collapsed="false">
      <c r="A1" s="10" t="s">
        <v>462</v>
      </c>
      <c r="B1" s="10"/>
      <c r="C1" s="10"/>
      <c r="D1" s="10"/>
    </row>
    <row r="2" customFormat="false" ht="4.5" hidden="false" customHeight="true" outlineLevel="0" collapsed="false"/>
    <row r="3" customFormat="false" ht="30" hidden="false" customHeight="true" outlineLevel="0" collapsed="false">
      <c r="A3" s="3" t="s">
        <v>463</v>
      </c>
      <c r="B3" s="3" t="s">
        <v>464</v>
      </c>
      <c r="C3" s="3" t="s">
        <v>465</v>
      </c>
      <c r="D3" s="3" t="s">
        <v>466</v>
      </c>
    </row>
    <row r="4" customFormat="false" ht="15" hidden="false" customHeight="false" outlineLevel="0" collapsed="false">
      <c r="A4" s="14" t="s">
        <v>128</v>
      </c>
      <c r="B4" s="14" t="s">
        <v>467</v>
      </c>
      <c r="C4" s="15" t="n">
        <v>47</v>
      </c>
      <c r="D4" s="16" t="n">
        <f aca="false">C4/C11</f>
        <v>0.235</v>
      </c>
    </row>
    <row r="5" customFormat="false" ht="15" hidden="false" customHeight="false" outlineLevel="0" collapsed="false">
      <c r="A5" s="17" t="s">
        <v>232</v>
      </c>
      <c r="B5" s="17" t="s">
        <v>468</v>
      </c>
      <c r="C5" s="18" t="n">
        <v>38</v>
      </c>
      <c r="D5" s="19" t="n">
        <f aca="false">C5/C11</f>
        <v>0.19</v>
      </c>
    </row>
    <row r="6" customFormat="false" ht="15" hidden="false" customHeight="false" outlineLevel="0" collapsed="false">
      <c r="A6" s="14" t="s">
        <v>212</v>
      </c>
      <c r="B6" s="14" t="s">
        <v>468</v>
      </c>
      <c r="C6" s="15" t="n">
        <v>35</v>
      </c>
      <c r="D6" s="16" t="n">
        <f aca="false">C6/C11</f>
        <v>0.175</v>
      </c>
    </row>
    <row r="7" customFormat="false" ht="15" hidden="false" customHeight="false" outlineLevel="0" collapsed="false">
      <c r="A7" s="17" t="s">
        <v>224</v>
      </c>
      <c r="B7" s="17" t="s">
        <v>469</v>
      </c>
      <c r="C7" s="18" t="n">
        <v>29</v>
      </c>
      <c r="D7" s="19" t="n">
        <f aca="false">C7/C11</f>
        <v>0.145</v>
      </c>
    </row>
    <row r="8" customFormat="false" ht="15" hidden="false" customHeight="false" outlineLevel="0" collapsed="false">
      <c r="A8" s="14" t="s">
        <v>327</v>
      </c>
      <c r="B8" s="14" t="s">
        <v>470</v>
      </c>
      <c r="C8" s="15" t="n">
        <v>22</v>
      </c>
      <c r="D8" s="16" t="n">
        <f aca="false">C8/C11</f>
        <v>0.11</v>
      </c>
    </row>
    <row r="9" customFormat="false" ht="15" hidden="false" customHeight="false" outlineLevel="0" collapsed="false">
      <c r="A9" s="17" t="s">
        <v>158</v>
      </c>
      <c r="B9" s="17" t="s">
        <v>471</v>
      </c>
      <c r="C9" s="18" t="n">
        <v>18</v>
      </c>
      <c r="D9" s="19" t="n">
        <f aca="false">C9/C11</f>
        <v>0.09</v>
      </c>
    </row>
    <row r="10" customFormat="false" ht="15" hidden="false" customHeight="false" outlineLevel="0" collapsed="false">
      <c r="A10" s="14" t="s">
        <v>338</v>
      </c>
      <c r="B10" s="14" t="s">
        <v>472</v>
      </c>
      <c r="C10" s="15" t="n">
        <v>11</v>
      </c>
      <c r="D10" s="16" t="n">
        <f aca="false">C10/C11</f>
        <v>0.055</v>
      </c>
    </row>
    <row r="11" customFormat="false" ht="15" hidden="false" customHeight="false" outlineLevel="0" collapsed="false">
      <c r="A11" s="20" t="s">
        <v>473</v>
      </c>
      <c r="C11" s="20" t="n">
        <f aca="false">SUM(C4:C10)</f>
        <v>200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2026-04-26T18:55:34Z</dcterms:created>
  <dc:creator>openpyxl</dc:creator>
  <dc:description/>
  <dc:language>en-US</dc:language>
  <cp:lastModifiedBy/>
  <dcterms:modified xsi:type="dcterms:W3CDTF">2026-04-26T18:55:35Z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